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zra.muinde\Downloads\"/>
    </mc:Choice>
  </mc:AlternateContent>
  <xr:revisionPtr revIDLastSave="0" documentId="13_ncr:1_{3CC5E983-6D2A-465F-B2B5-17AF795F3C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📊 Dashboard" sheetId="1" r:id="rId1"/>
    <sheet name="🧑 His Goals" sheetId="2" r:id="rId2"/>
    <sheet name="👩 Her Goals" sheetId="3" r:id="rId3"/>
    <sheet name="💑 Our Goals" sheetId="4" r:id="rId4"/>
    <sheet name="🏆 Achieved" sheetId="5" r:id="rId5"/>
    <sheet name="📅 Monthly Check-I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5" l="1"/>
  <c r="E4" i="5"/>
  <c r="D4" i="5"/>
  <c r="C4" i="5"/>
  <c r="C4" i="3"/>
  <c r="F4" i="4"/>
  <c r="E4" i="4"/>
  <c r="D4" i="4"/>
  <c r="C4" i="4"/>
  <c r="F4" i="3"/>
  <c r="E4" i="3"/>
  <c r="D4" i="3"/>
  <c r="F4" i="2"/>
  <c r="E4" i="2"/>
  <c r="D4" i="2"/>
  <c r="C4" i="2"/>
  <c r="E22" i="1"/>
  <c r="D22" i="1"/>
  <c r="C22" i="1"/>
  <c r="F22" i="1" s="1"/>
  <c r="G4" i="1"/>
  <c r="D4" i="1"/>
  <c r="C4" i="1"/>
  <c r="B4" i="1"/>
  <c r="C23" i="1" l="1"/>
  <c r="F24" i="1" s="1"/>
  <c r="D23" i="1"/>
  <c r="F23" i="1"/>
  <c r="E23" i="1"/>
  <c r="E4" i="1" l="1"/>
</calcChain>
</file>

<file path=xl/sharedStrings.xml><?xml version="1.0" encoding="utf-8"?>
<sst xmlns="http://schemas.openxmlformats.org/spreadsheetml/2006/main" count="346" uniqueCount="178">
  <si>
    <t>💑  COUPLE GOALS TRACKER  |  2025 – 2026</t>
  </si>
  <si>
    <t>Track. Achieve. Celebrate. — Your joint goal-setting platform</t>
  </si>
  <si>
    <t>🧑 HIS GOALS</t>
  </si>
  <si>
    <t>👩 HER GOALS</t>
  </si>
  <si>
    <t>💑 COUPLE GOALS</t>
  </si>
  <si>
    <t>✅ TOTAL ACHIEVED</t>
  </si>
  <si>
    <t>🔥 STREAK (Days)</t>
  </si>
  <si>
    <t>📅 Last Updated</t>
  </si>
  <si>
    <t>30</t>
  </si>
  <si>
    <t xml:space="preserve">  📈  GOAL PROGRESS OVERVIEW</t>
  </si>
  <si>
    <t>#</t>
  </si>
  <si>
    <t>Goal Name</t>
  </si>
  <si>
    <t>Category</t>
  </si>
  <si>
    <t>Owner</t>
  </si>
  <si>
    <t>Target Date</t>
  </si>
  <si>
    <t>Progress %</t>
  </si>
  <si>
    <t>Status</t>
  </si>
  <si>
    <t>Priority</t>
  </si>
  <si>
    <t>Buy our first home together</t>
  </si>
  <si>
    <t>Finance</t>
  </si>
  <si>
    <t>Couple</t>
  </si>
  <si>
    <t>Dec 2025</t>
  </si>
  <si>
    <t>In Progress</t>
  </si>
  <si>
    <t>High</t>
  </si>
  <si>
    <t>Travel to 3 new countries</t>
  </si>
  <si>
    <t>Travel</t>
  </si>
  <si>
    <t>Dec 2026</t>
  </si>
  <si>
    <t>Run a 5K together</t>
  </si>
  <si>
    <t>Health</t>
  </si>
  <si>
    <t>Jun 2025</t>
  </si>
  <si>
    <t>Medium</t>
  </si>
  <si>
    <t>Save Emergency Fund (6 months)</t>
  </si>
  <si>
    <t>Him</t>
  </si>
  <si>
    <t>Sep 2025</t>
  </si>
  <si>
    <t>Get promoted / Grow income 20%</t>
  </si>
  <si>
    <t>Career</t>
  </si>
  <si>
    <t>Read 24 books this year</t>
  </si>
  <si>
    <t>Personal Growth</t>
  </si>
  <si>
    <t>Her</t>
  </si>
  <si>
    <t>Launch side business</t>
  </si>
  <si>
    <t>Mar 2026</t>
  </si>
  <si>
    <t>Monthly date nights (12)</t>
  </si>
  <si>
    <t>Relationship</t>
  </si>
  <si>
    <t>Learn new language (A2)</t>
  </si>
  <si>
    <t>Jun 2026</t>
  </si>
  <si>
    <t>Low</t>
  </si>
  <si>
    <t>Improve mental wellness routine</t>
  </si>
  <si>
    <t>Ongoing</t>
  </si>
  <si>
    <t xml:space="preserve">  📊  ANALYTICS SUMMARY</t>
  </si>
  <si>
    <t>Metric</t>
  </si>
  <si>
    <t>Total</t>
  </si>
  <si>
    <t>Goals Set</t>
  </si>
  <si>
    <t>Goals Achieved</t>
  </si>
  <si>
    <t>Avg Progress %</t>
  </si>
  <si>
    <t>40%</t>
  </si>
  <si>
    <t>46%</t>
  </si>
  <si>
    <t>54%</t>
  </si>
  <si>
    <t>High Priority</t>
  </si>
  <si>
    <t>💡 Tip: Update progress in each individual sheet. This dashboard auto-updates! | Review goals monthly together.</t>
  </si>
  <si>
    <t>🧑  HIM'S GOALS  |  Personal Goal Planner</t>
  </si>
  <si>
    <t>Set ambitious goals. Track relentlessly. Celebrate every win.</t>
  </si>
  <si>
    <t>Total Goals</t>
  </si>
  <si>
    <t>Completed</t>
  </si>
  <si>
    <t>Completion Rate</t>
  </si>
  <si>
    <t xml:space="preserve">  📋  GOAL LIST — HIM  |  Add, update, and track your goals below</t>
  </si>
  <si>
    <t>Goal Title</t>
  </si>
  <si>
    <t>Measure / KPI</t>
  </si>
  <si>
    <t>Notes</t>
  </si>
  <si>
    <t>Save Emergency Fund (6 months income)</t>
  </si>
  <si>
    <t>Savings balance = $X</t>
  </si>
  <si>
    <t>Track in savings account monthly</t>
  </si>
  <si>
    <t>Salary / income increase</t>
  </si>
  <si>
    <t>Work out 4x per week</t>
  </si>
  <si>
    <t>Workouts logged per week</t>
  </si>
  <si>
    <t>Use gym app to track</t>
  </si>
  <si>
    <t>Learn new language (A2 level)</t>
  </si>
  <si>
    <t>Duolingo streak + A2 test</t>
  </si>
  <si>
    <t>Read 12 books</t>
  </si>
  <si>
    <t>Books read this year</t>
  </si>
  <si>
    <t>Invest 20% of income monthly</t>
  </si>
  <si>
    <t>% of income invested</t>
  </si>
  <si>
    <t>💡 Tip: Review and update progress weekly. Use the Status dropdown to mark goals Completed, then log them in the 🏆 Achieved tab!</t>
  </si>
  <si>
    <t>👩  HER'S GOALS  |  Personal Goal Planner</t>
  </si>
  <si>
    <t xml:space="preserve">  📋  GOAL LIST — HER  |  Add, update, and track your goals below</t>
  </si>
  <si>
    <t>Business launched &amp; 1st sale</t>
  </si>
  <si>
    <t>Books completed</t>
  </si>
  <si>
    <t>Daily habit streak</t>
  </si>
  <si>
    <t>Journaling + meditation</t>
  </si>
  <si>
    <t>Run 5K under 30 mins</t>
  </si>
  <si>
    <t>5K race time</t>
  </si>
  <si>
    <t>Build professional network (+50 connections)</t>
  </si>
  <si>
    <t>New meaningful connections</t>
  </si>
  <si>
    <t>Take a solo trip</t>
  </si>
  <si>
    <t>Trip booked and completed</t>
  </si>
  <si>
    <t>Not Started</t>
  </si>
  <si>
    <t>💑  COUPLE'S GOALS  |  Personal Goal Planner</t>
  </si>
  <si>
    <t xml:space="preserve">  📋  GOAL LIST — COUPLE  |  Add, update, and track your goals below</t>
  </si>
  <si>
    <t>House purchased &amp; keys</t>
  </si>
  <si>
    <t>Countries visited together</t>
  </si>
  <si>
    <t>Monthly date nights (12 total)</t>
  </si>
  <si>
    <t>Date nights completed</t>
  </si>
  <si>
    <t>Race completed together</t>
  </si>
  <si>
    <t>Build joint investment portfolio</t>
  </si>
  <si>
    <t>Portfolio value milestone</t>
  </si>
  <si>
    <t>Attend couples workshop / retreat</t>
  </si>
  <si>
    <t>Workshop attended</t>
  </si>
  <si>
    <t>Cook a new recipe every 2 weeks</t>
  </si>
  <si>
    <t>Hobbies</t>
  </si>
  <si>
    <t>Recipes cooked together</t>
  </si>
  <si>
    <t>🏆  HALL OF FAME — ACHIEVED GOALS</t>
  </si>
  <si>
    <t>Every goal completed here is a victory. You both crushed it! 🎉</t>
  </si>
  <si>
    <t>🏆 Total Wins</t>
  </si>
  <si>
    <t>👨 His Wins</t>
  </si>
  <si>
    <t>👩 Her Wins</t>
  </si>
  <si>
    <t>💑 Joint Wins</t>
  </si>
  <si>
    <t xml:space="preserve">  🎯  ACHIEVED GOALS LOG</t>
  </si>
  <si>
    <t>Goal Achieved</t>
  </si>
  <si>
    <t>Date Achieved</t>
  </si>
  <si>
    <t>Celebration / Note</t>
  </si>
  <si>
    <t>Paid off credit card debt</t>
  </si>
  <si>
    <t>Achieved</t>
  </si>
  <si>
    <t>Mar 2025</t>
  </si>
  <si>
    <t>🎉 Dinner date to celebrate!</t>
  </si>
  <si>
    <t>Completed 30-day fitness challenge</t>
  </si>
  <si>
    <t>Feb 2025</t>
  </si>
  <si>
    <t>🥂 Spa day treat!</t>
  </si>
  <si>
    <t>First holiday abroad together</t>
  </si>
  <si>
    <t>Jan 2025</t>
  </si>
  <si>
    <t>❤️ Portugal was magical!</t>
  </si>
  <si>
    <t>Got driving licence</t>
  </si>
  <si>
    <t>Apr 2025</t>
  </si>
  <si>
    <t>🚗 Road trip time!</t>
  </si>
  <si>
    <t>📌 How to use: When you complete a goal, copy the goal name here, set Status = Achieved, and add your celebration note! 🎊</t>
  </si>
  <si>
    <t>📅  MONTHLY COUPLE CHECK-IN</t>
  </si>
  <si>
    <t>Set aside 30 minutes each month to review progress together. Connection + accountability = results.</t>
  </si>
  <si>
    <t xml:space="preserve">  📋  MONTHLY REVIEW TEMPLATE</t>
  </si>
  <si>
    <t>Month</t>
  </si>
  <si>
    <t>His Goals Progress</t>
  </si>
  <si>
    <t>Her Goals Progress</t>
  </si>
  <si>
    <t>Couple Goals Progress</t>
  </si>
  <si>
    <t>Win of the Month 🏆</t>
  </si>
  <si>
    <t>Challenge to Overcome</t>
  </si>
  <si>
    <t>Action for Next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</si>
  <si>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</si>
  <si>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</si>
  <si>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</si>
  <si>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</si>
  <si>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</si>
  <si>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</si>
  <si>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</si>
  <si>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</si>
  <si>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</si>
  <si>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</si>
  <si>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</si>
  <si>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</si>
  <si>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💬  QUARTERLY REFLECTION PROMPTS</t>
  </si>
  <si>
    <t>Quarter</t>
  </si>
  <si>
    <t>Prompt 1</t>
  </si>
  <si>
    <t>Answer</t>
  </si>
  <si>
    <t>Prompt 2</t>
  </si>
  <si>
    <t>Prompt 3</t>
  </si>
  <si>
    <t>Q1 (Mar)</t>
  </si>
  <si>
    <t>What goals did we make the most progress on?</t>
  </si>
  <si>
    <t>What slowed us down?</t>
  </si>
  <si>
    <t>How did we support each other?</t>
  </si>
  <si>
    <t>Q2 (Jun)</t>
  </si>
  <si>
    <t>What habits are working?</t>
  </si>
  <si>
    <t>What needs to change?</t>
  </si>
  <si>
    <t>What are we most proud of?</t>
  </si>
  <si>
    <t>Q3 (Sep)</t>
  </si>
  <si>
    <t>Are our goals still aligned with our vision?</t>
  </si>
  <si>
    <t>What new goals should we add?</t>
  </si>
  <si>
    <t>What should we drop or pause?</t>
  </si>
  <si>
    <t>Q4 (Dec)</t>
  </si>
  <si>
    <t>What was our biggest joint achievement?</t>
  </si>
  <si>
    <t>What are our 3 big goals for next year?</t>
  </si>
  <si>
    <t>How will we celebrate our wins?</t>
  </si>
  <si>
    <t>💡 Schedule your monthly check-in on the same day each month — make it a ritual! With snacks 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</si>
</sst>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yy"/>
  </numFmts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28"/>
      <color rgb="FFFFFFFF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616161"/>
      <name val="Arial"/>
      <family val="2"/>
    </font>
    <font>
      <sz val="10"/>
      <color rgb="FF212121"/>
      <name val="Arial"/>
      <family val="2"/>
    </font>
    <font>
      <i/>
      <sz val="9"/>
      <color rgb="FF616161"/>
      <name val="Arial"/>
      <family val="2"/>
    </font>
    <font>
      <b/>
      <sz val="10"/>
      <color rgb="FF212121"/>
      <name val="Arial"/>
      <family val="2"/>
    </font>
    <font>
      <i/>
      <sz val="9"/>
      <color rgb="FFFFFFFF"/>
      <name val="Arial"/>
      <family val="2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616161"/>
      <name val="Arial"/>
      <family val="2"/>
    </font>
    <font>
      <sz val="10"/>
      <color rgb="FFB39DDB"/>
      <name val="Arial"/>
      <family val="2"/>
    </font>
    <font>
      <sz val="9"/>
      <color rgb="FF21212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2D1B69"/>
        <bgColor rgb="FF212121"/>
      </patternFill>
    </fill>
    <fill>
      <patternFill patternType="solid">
        <fgColor rgb="FF6B3FA0"/>
        <bgColor rgb="FF616161"/>
      </patternFill>
    </fill>
    <fill>
      <patternFill patternType="solid">
        <fgColor rgb="FF1976D2"/>
        <bgColor rgb="FF1565C0"/>
      </patternFill>
    </fill>
    <fill>
      <patternFill patternType="solid">
        <fgColor rgb="FFE91E8C"/>
        <bgColor rgb="FFAD1457"/>
      </patternFill>
    </fill>
    <fill>
      <patternFill patternType="solid">
        <fgColor rgb="FF2E7D32"/>
        <bgColor rgb="FF008000"/>
      </patternFill>
    </fill>
    <fill>
      <patternFill patternType="solid">
        <fgColor rgb="FFF9A825"/>
        <bgColor rgb="FFFF9800"/>
      </patternFill>
    </fill>
    <fill>
      <patternFill patternType="solid">
        <fgColor rgb="FF616161"/>
        <bgColor rgb="FF808080"/>
      </patternFill>
    </fill>
    <fill>
      <patternFill patternType="solid">
        <fgColor rgb="FFF5F5F5"/>
        <bgColor rgb="FFFFFDE7"/>
      </patternFill>
    </fill>
    <fill>
      <patternFill patternType="solid">
        <fgColor rgb="FFF44336"/>
        <bgColor rgb="FFE91E8C"/>
      </patternFill>
    </fill>
    <fill>
      <patternFill patternType="solid">
        <fgColor rgb="FFFFFFFF"/>
        <bgColor rgb="FFFFFDE7"/>
      </patternFill>
    </fill>
    <fill>
      <patternFill patternType="solid">
        <fgColor rgb="FF1565C0"/>
        <bgColor rgb="FF1976D2"/>
      </patternFill>
    </fill>
    <fill>
      <patternFill patternType="solid">
        <fgColor rgb="FFE3F2FD"/>
        <bgColor rgb="FFE0F7FA"/>
      </patternFill>
    </fill>
    <fill>
      <patternFill patternType="solid">
        <fgColor rgb="FFAD1457"/>
        <bgColor rgb="FF800080"/>
      </patternFill>
    </fill>
    <fill>
      <patternFill patternType="solid">
        <fgColor rgb="FFF8BBD0"/>
        <bgColor rgb="FFFF99CC"/>
      </patternFill>
    </fill>
    <fill>
      <patternFill patternType="solid">
        <fgColor rgb="FFEDE7F6"/>
        <bgColor rgb="FFE3F2FD"/>
      </patternFill>
    </fill>
    <fill>
      <patternFill patternType="solid">
        <fgColor rgb="FFFF9800"/>
        <bgColor rgb="FFF9A825"/>
      </patternFill>
    </fill>
    <fill>
      <patternFill patternType="solid">
        <fgColor rgb="FFB8860B"/>
        <bgColor rgb="FFFF9800"/>
      </patternFill>
    </fill>
    <fill>
      <patternFill patternType="solid">
        <fgColor rgb="FFFFFDE7"/>
        <bgColor rgb="FFFFFFFF"/>
      </patternFill>
    </fill>
    <fill>
      <patternFill patternType="solid">
        <fgColor rgb="FF00838F"/>
        <bgColor rgb="FF008080"/>
      </patternFill>
    </fill>
    <fill>
      <patternFill patternType="solid">
        <fgColor rgb="FF00BCD4"/>
        <bgColor rgb="FF33CCCC"/>
      </patternFill>
    </fill>
    <fill>
      <patternFill patternType="solid">
        <fgColor rgb="FFE0F7FA"/>
        <bgColor rgb="FFE3F2F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2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 vertical="center"/>
    </xf>
    <xf numFmtId="0" fontId="14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14" fillId="1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4" fontId="5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9" fontId="9" fillId="9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9" fontId="9" fillId="11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9" fontId="15" fillId="7" borderId="0" xfId="0" applyNumberFormat="1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9" fontId="9" fillId="13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9" fontId="9" fillId="15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9" fillId="22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41EB84-F06A-4301-8506-32314AC6F634}"/>
  </tableStyles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800000"/>
      <rgbColor rgb="FF008000"/>
      <rgbColor rgb="FF000080"/>
      <rgbColor rgb="FFB8860B"/>
      <rgbColor rgb="FF800080"/>
      <rgbColor rgb="FF00838F"/>
      <rgbColor rgb="FFC0C0C0"/>
      <rgbColor rgb="FF808080"/>
      <rgbColor rgb="FF9999FF"/>
      <rgbColor rgb="FFAD1457"/>
      <rgbColor rgb="FFFFFDE7"/>
      <rgbColor rgb="FFE0F7FA"/>
      <rgbColor rgb="FF660066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E3F2FD"/>
      <rgbColor rgb="FFF5F5F5"/>
      <rgbColor rgb="FFEDE7F6"/>
      <rgbColor rgb="FF99CCFF"/>
      <rgbColor rgb="FFFF99CC"/>
      <rgbColor rgb="FFB39DDB"/>
      <rgbColor rgb="FFF8BBD0"/>
      <rgbColor rgb="FF1976D2"/>
      <rgbColor rgb="FF33CCCC"/>
      <rgbColor rgb="FF99CC00"/>
      <rgbColor rgb="FFF9A825"/>
      <rgbColor rgb="FFFF9800"/>
      <rgbColor rgb="FFF44336"/>
      <rgbColor rgb="FF616161"/>
      <rgbColor rgb="FF969696"/>
      <rgbColor rgb="FF003366"/>
      <rgbColor rgb="FF2E7D32"/>
      <rgbColor rgb="FF003300"/>
      <rgbColor rgb="FF333300"/>
      <rgbColor rgb="FF993300"/>
      <rgbColor rgb="FF6B3FA0"/>
      <rgbColor rgb="FF2D1B6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showGridLines="0" tabSelected="1" zoomScaleNormal="100" workbookViewId="0">
      <selection activeCell="E17" sqref="E17"/>
    </sheetView>
  </sheetViews>
  <sheetFormatPr defaultColWidth="8.6640625" defaultRowHeight="14.4" x14ac:dyDescent="0.3"/>
  <cols>
    <col min="1" max="1" width="2" customWidth="1"/>
    <col min="2" max="2" width="15.33203125" bestFit="1" customWidth="1"/>
    <col min="3" max="3" width="29.21875" bestFit="1" customWidth="1"/>
    <col min="4" max="4" width="16.6640625" bestFit="1" customWidth="1"/>
    <col min="5" max="5" width="17.88671875" bestFit="1" customWidth="1"/>
    <col min="6" max="6" width="15.5546875" bestFit="1" customWidth="1"/>
    <col min="7" max="7" width="11.33203125" bestFit="1" customWidth="1"/>
    <col min="8" max="8" width="9.88671875" bestFit="1" customWidth="1"/>
    <col min="9" max="9" width="7.44140625" bestFit="1" customWidth="1"/>
  </cols>
  <sheetData>
    <row r="1" spans="2:9" ht="24.6" x14ac:dyDescent="0.3">
      <c r="B1" s="14" t="s">
        <v>0</v>
      </c>
      <c r="C1" s="14"/>
      <c r="D1" s="14"/>
      <c r="E1" s="14"/>
      <c r="F1" s="14"/>
      <c r="G1" s="14"/>
      <c r="H1" s="14"/>
    </row>
    <row r="2" spans="2:9" x14ac:dyDescent="0.3">
      <c r="B2" s="13" t="s">
        <v>1</v>
      </c>
      <c r="C2" s="13"/>
      <c r="D2" s="13"/>
      <c r="E2" s="13"/>
      <c r="F2" s="13"/>
      <c r="G2" s="13"/>
      <c r="H2" s="13"/>
    </row>
    <row r="3" spans="2:9" x14ac:dyDescent="0.3">
      <c r="B3" s="15" t="s">
        <v>2</v>
      </c>
      <c r="C3" s="16" t="s">
        <v>3</v>
      </c>
      <c r="D3" s="17" t="s">
        <v>4</v>
      </c>
      <c r="E3" s="18" t="s">
        <v>5</v>
      </c>
      <c r="F3" s="19" t="s">
        <v>6</v>
      </c>
      <c r="G3" s="12" t="s">
        <v>7</v>
      </c>
      <c r="H3" s="12"/>
    </row>
    <row r="4" spans="2:9" ht="35.4" x14ac:dyDescent="0.3">
      <c r="B4" s="20">
        <f>COUNTA('🧑 His Goals'!B5:B54)</f>
        <v>50</v>
      </c>
      <c r="C4" s="21">
        <f>COUNTA('👩 Her Goals'!B5:B54)</f>
        <v>50</v>
      </c>
      <c r="D4" s="22">
        <f>COUNTA('💑 Our Goals'!B5:B54)</f>
        <v>50</v>
      </c>
      <c r="E4" s="23">
        <f>COUNTIF('🏆 Achieved'!D2:D200,"Achieved")</f>
        <v>0</v>
      </c>
      <c r="F4" s="24" t="s">
        <v>8</v>
      </c>
      <c r="G4" s="11">
        <f ca="1">TODAY()</f>
        <v>46080</v>
      </c>
      <c r="H4" s="11"/>
    </row>
    <row r="6" spans="2:9" ht="16.8" x14ac:dyDescent="0.3">
      <c r="B6" s="10" t="s">
        <v>9</v>
      </c>
      <c r="C6" s="10"/>
      <c r="D6" s="10"/>
      <c r="E6" s="10"/>
      <c r="F6" s="10"/>
      <c r="G6" s="10"/>
      <c r="H6" s="10"/>
    </row>
    <row r="7" spans="2:9" x14ac:dyDescent="0.3">
      <c r="B7" s="25" t="s">
        <v>10</v>
      </c>
      <c r="C7" s="25" t="s">
        <v>11</v>
      </c>
      <c r="D7" s="25" t="s">
        <v>12</v>
      </c>
      <c r="E7" s="25" t="s">
        <v>13</v>
      </c>
      <c r="F7" s="25" t="s">
        <v>14</v>
      </c>
      <c r="G7" s="25" t="s">
        <v>15</v>
      </c>
      <c r="H7" s="25" t="s">
        <v>16</v>
      </c>
      <c r="I7" s="25" t="s">
        <v>17</v>
      </c>
    </row>
    <row r="8" spans="2:9" x14ac:dyDescent="0.3">
      <c r="B8" s="26">
        <v>1</v>
      </c>
      <c r="C8" s="27" t="s">
        <v>18</v>
      </c>
      <c r="D8" s="28" t="s">
        <v>19</v>
      </c>
      <c r="E8" s="28" t="s">
        <v>20</v>
      </c>
      <c r="F8" s="29" t="s">
        <v>21</v>
      </c>
      <c r="G8" s="30">
        <v>0.35</v>
      </c>
      <c r="H8" s="31" t="s">
        <v>22</v>
      </c>
      <c r="I8" s="32" t="s">
        <v>23</v>
      </c>
    </row>
    <row r="9" spans="2:9" x14ac:dyDescent="0.3">
      <c r="B9" s="33">
        <v>2</v>
      </c>
      <c r="C9" s="34" t="s">
        <v>24</v>
      </c>
      <c r="D9" s="35" t="s">
        <v>25</v>
      </c>
      <c r="E9" s="35" t="s">
        <v>20</v>
      </c>
      <c r="F9" s="36" t="s">
        <v>26</v>
      </c>
      <c r="G9" s="37">
        <v>0.33</v>
      </c>
      <c r="H9" s="31" t="s">
        <v>22</v>
      </c>
      <c r="I9" s="32" t="s">
        <v>23</v>
      </c>
    </row>
    <row r="10" spans="2:9" x14ac:dyDescent="0.3">
      <c r="B10" s="26">
        <v>3</v>
      </c>
      <c r="C10" s="27" t="s">
        <v>27</v>
      </c>
      <c r="D10" s="28" t="s">
        <v>28</v>
      </c>
      <c r="E10" s="28" t="s">
        <v>20</v>
      </c>
      <c r="F10" s="29" t="s">
        <v>29</v>
      </c>
      <c r="G10" s="30">
        <v>0.6</v>
      </c>
      <c r="H10" s="31" t="s">
        <v>22</v>
      </c>
      <c r="I10" s="38" t="s">
        <v>30</v>
      </c>
    </row>
    <row r="11" spans="2:9" x14ac:dyDescent="0.3">
      <c r="B11" s="33">
        <v>4</v>
      </c>
      <c r="C11" s="34" t="s">
        <v>31</v>
      </c>
      <c r="D11" s="35" t="s">
        <v>19</v>
      </c>
      <c r="E11" s="35" t="s">
        <v>32</v>
      </c>
      <c r="F11" s="36" t="s">
        <v>33</v>
      </c>
      <c r="G11" s="37">
        <v>0.5</v>
      </c>
      <c r="H11" s="31" t="s">
        <v>22</v>
      </c>
      <c r="I11" s="32" t="s">
        <v>23</v>
      </c>
    </row>
    <row r="12" spans="2:9" x14ac:dyDescent="0.3">
      <c r="B12" s="26">
        <v>5</v>
      </c>
      <c r="C12" s="27" t="s">
        <v>34</v>
      </c>
      <c r="D12" s="28" t="s">
        <v>35</v>
      </c>
      <c r="E12" s="28" t="s">
        <v>32</v>
      </c>
      <c r="F12" s="29" t="s">
        <v>21</v>
      </c>
      <c r="G12" s="30">
        <v>0.4</v>
      </c>
      <c r="H12" s="31" t="s">
        <v>22</v>
      </c>
      <c r="I12" s="32" t="s">
        <v>23</v>
      </c>
    </row>
    <row r="13" spans="2:9" x14ac:dyDescent="0.3">
      <c r="B13" s="33">
        <v>6</v>
      </c>
      <c r="C13" s="34" t="s">
        <v>36</v>
      </c>
      <c r="D13" s="35" t="s">
        <v>37</v>
      </c>
      <c r="E13" s="35" t="s">
        <v>38</v>
      </c>
      <c r="F13" s="36" t="s">
        <v>21</v>
      </c>
      <c r="G13" s="37">
        <v>0.57999999999999996</v>
      </c>
      <c r="H13" s="31" t="s">
        <v>22</v>
      </c>
      <c r="I13" s="38" t="s">
        <v>30</v>
      </c>
    </row>
    <row r="14" spans="2:9" x14ac:dyDescent="0.3">
      <c r="B14" s="26">
        <v>7</v>
      </c>
      <c r="C14" s="27" t="s">
        <v>39</v>
      </c>
      <c r="D14" s="28" t="s">
        <v>19</v>
      </c>
      <c r="E14" s="28" t="s">
        <v>38</v>
      </c>
      <c r="F14" s="29" t="s">
        <v>40</v>
      </c>
      <c r="G14" s="30">
        <v>0.2</v>
      </c>
      <c r="H14" s="31" t="s">
        <v>22</v>
      </c>
      <c r="I14" s="32" t="s">
        <v>23</v>
      </c>
    </row>
    <row r="15" spans="2:9" x14ac:dyDescent="0.3">
      <c r="B15" s="33">
        <v>8</v>
      </c>
      <c r="C15" s="34" t="s">
        <v>41</v>
      </c>
      <c r="D15" s="35" t="s">
        <v>42</v>
      </c>
      <c r="E15" s="35" t="s">
        <v>20</v>
      </c>
      <c r="F15" s="36" t="s">
        <v>21</v>
      </c>
      <c r="G15" s="37">
        <v>0.75</v>
      </c>
      <c r="H15" s="31" t="s">
        <v>22</v>
      </c>
      <c r="I15" s="38" t="s">
        <v>30</v>
      </c>
    </row>
    <row r="16" spans="2:9" x14ac:dyDescent="0.3">
      <c r="B16" s="26">
        <v>9</v>
      </c>
      <c r="C16" s="27" t="s">
        <v>43</v>
      </c>
      <c r="D16" s="28" t="s">
        <v>37</v>
      </c>
      <c r="E16" s="28" t="s">
        <v>32</v>
      </c>
      <c r="F16" s="29" t="s">
        <v>44</v>
      </c>
      <c r="G16" s="30">
        <v>0.3</v>
      </c>
      <c r="H16" s="31" t="s">
        <v>22</v>
      </c>
      <c r="I16" s="39" t="s">
        <v>45</v>
      </c>
    </row>
    <row r="17" spans="2:9" x14ac:dyDescent="0.3">
      <c r="B17" s="33">
        <v>10</v>
      </c>
      <c r="C17" s="34" t="s">
        <v>46</v>
      </c>
      <c r="D17" s="35" t="s">
        <v>28</v>
      </c>
      <c r="E17" s="35" t="s">
        <v>38</v>
      </c>
      <c r="F17" s="36" t="s">
        <v>47</v>
      </c>
      <c r="G17" s="37">
        <v>0.65</v>
      </c>
      <c r="H17" s="31" t="s">
        <v>22</v>
      </c>
      <c r="I17" s="38" t="s">
        <v>30</v>
      </c>
    </row>
    <row r="20" spans="2:9" ht="16.8" x14ac:dyDescent="0.3">
      <c r="B20" s="10" t="s">
        <v>48</v>
      </c>
      <c r="C20" s="10"/>
      <c r="D20" s="10"/>
      <c r="E20" s="10"/>
      <c r="F20" s="10"/>
      <c r="G20" s="10"/>
      <c r="H20" s="10"/>
    </row>
    <row r="21" spans="2:9" x14ac:dyDescent="0.3">
      <c r="B21" s="25" t="s">
        <v>49</v>
      </c>
      <c r="C21" s="25" t="s">
        <v>32</v>
      </c>
      <c r="D21" s="25" t="s">
        <v>38</v>
      </c>
      <c r="E21" s="25" t="s">
        <v>20</v>
      </c>
      <c r="F21" s="25" t="s">
        <v>50</v>
      </c>
    </row>
    <row r="22" spans="2:9" x14ac:dyDescent="0.3">
      <c r="B22" s="40" t="s">
        <v>51</v>
      </c>
      <c r="C22" s="26">
        <f>COUNTA('🧑 His Goals'!B5:B54)</f>
        <v>50</v>
      </c>
      <c r="D22" s="26">
        <f>COUNTA('👩 Her Goals'!B5:B54)</f>
        <v>50</v>
      </c>
      <c r="E22" s="26">
        <f>COUNTA('💑 Our Goals'!B5:B54)</f>
        <v>50</v>
      </c>
      <c r="F22" s="41">
        <f>C22+D22+E22</f>
        <v>150</v>
      </c>
    </row>
    <row r="23" spans="2:9" x14ac:dyDescent="0.3">
      <c r="B23" s="42" t="s">
        <v>52</v>
      </c>
      <c r="C23" s="33">
        <f>COUNTIFS('🏆 Achieved'!C2:C100,"Him",'🏆 Achieved'!D2:D100,"Achieved")</f>
        <v>0</v>
      </c>
      <c r="D23" s="33">
        <f>COUNTIFS('🏆 Achieved'!C2:C100,"Her",'🏆 Achieved'!D2:D100,"Achieved")</f>
        <v>0</v>
      </c>
      <c r="E23" s="33">
        <f>COUNTIFS('🏆 Achieved'!C2:C100,"Couple",'🏆 Achieved'!D2:D100,"Achieved")</f>
        <v>0</v>
      </c>
      <c r="F23" s="33">
        <f>COUNTIF('🏆 Achieved'!D2:D100,"Achieved")</f>
        <v>0</v>
      </c>
    </row>
    <row r="24" spans="2:9" x14ac:dyDescent="0.3">
      <c r="B24" s="40" t="s">
        <v>22</v>
      </c>
      <c r="C24" s="26">
        <v>2</v>
      </c>
      <c r="D24" s="26">
        <v>3</v>
      </c>
      <c r="E24" s="26">
        <v>3</v>
      </c>
      <c r="F24" s="26">
        <f>C23+D23+E23</f>
        <v>0</v>
      </c>
    </row>
    <row r="25" spans="2:9" x14ac:dyDescent="0.3">
      <c r="B25" s="42" t="s">
        <v>53</v>
      </c>
      <c r="C25" s="33" t="s">
        <v>54</v>
      </c>
      <c r="D25" s="33" t="s">
        <v>55</v>
      </c>
      <c r="E25" s="33" t="s">
        <v>56</v>
      </c>
      <c r="F25" s="33"/>
    </row>
    <row r="26" spans="2:9" x14ac:dyDescent="0.3">
      <c r="B26" s="40" t="s">
        <v>57</v>
      </c>
      <c r="C26" s="26">
        <v>2</v>
      </c>
      <c r="D26" s="26">
        <v>2</v>
      </c>
      <c r="E26" s="26">
        <v>2</v>
      </c>
      <c r="F26" s="26"/>
    </row>
    <row r="28" spans="2:9" x14ac:dyDescent="0.3">
      <c r="B28" s="9" t="s">
        <v>58</v>
      </c>
      <c r="C28" s="9"/>
      <c r="D28" s="9"/>
      <c r="E28" s="9"/>
      <c r="F28" s="9"/>
      <c r="G28" s="9"/>
      <c r="H28" s="9"/>
    </row>
  </sheetData>
  <mergeCells count="7">
    <mergeCell ref="B20:H20"/>
    <mergeCell ref="B28:H28"/>
    <mergeCell ref="B1:H1"/>
    <mergeCell ref="B2:H2"/>
    <mergeCell ref="G3:H3"/>
    <mergeCell ref="G4:H4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8"/>
  <sheetViews>
    <sheetView showGridLines="0" zoomScaleNormal="100" workbookViewId="0">
      <selection activeCell="E12" sqref="E12"/>
    </sheetView>
  </sheetViews>
  <sheetFormatPr defaultColWidth="8.6640625" defaultRowHeight="14.4" x14ac:dyDescent="0.3"/>
  <cols>
    <col min="1" max="1" width="2" customWidth="1"/>
    <col min="2" max="2" width="3" bestFit="1" customWidth="1"/>
    <col min="3" max="3" width="35.88671875" bestFit="1" customWidth="1"/>
    <col min="4" max="4" width="14.44140625" bestFit="1" customWidth="1"/>
    <col min="5" max="5" width="11.21875" bestFit="1" customWidth="1"/>
    <col min="6" max="6" width="14" bestFit="1" customWidth="1"/>
    <col min="7" max="7" width="22.88671875" bestFit="1" customWidth="1"/>
    <col min="8" max="8" width="7.44140625" bestFit="1" customWidth="1"/>
    <col min="9" max="9" width="9.88671875" bestFit="1" customWidth="1"/>
    <col min="10" max="10" width="26.109375" bestFit="1" customWidth="1"/>
  </cols>
  <sheetData>
    <row r="1" spans="2:10" ht="22.8" x14ac:dyDescent="0.3">
      <c r="B1" s="8" t="s">
        <v>59</v>
      </c>
      <c r="C1" s="8"/>
      <c r="D1" s="8"/>
      <c r="E1" s="8"/>
      <c r="F1" s="8"/>
      <c r="G1" s="8"/>
      <c r="H1" s="8"/>
      <c r="I1" s="8"/>
    </row>
    <row r="2" spans="2:10" x14ac:dyDescent="0.3">
      <c r="B2" s="7" t="s">
        <v>60</v>
      </c>
      <c r="C2" s="7"/>
      <c r="D2" s="7"/>
      <c r="E2" s="7"/>
      <c r="F2" s="7"/>
      <c r="G2" s="7"/>
      <c r="H2" s="7"/>
      <c r="I2" s="7"/>
    </row>
    <row r="3" spans="2:10" x14ac:dyDescent="0.3">
      <c r="C3" s="15" t="s">
        <v>61</v>
      </c>
      <c r="D3" s="18" t="s">
        <v>62</v>
      </c>
      <c r="E3" s="15" t="s">
        <v>22</v>
      </c>
      <c r="F3" s="19" t="s">
        <v>63</v>
      </c>
    </row>
    <row r="4" spans="2:10" ht="21" x14ac:dyDescent="0.3">
      <c r="C4" s="43">
        <f>COUNTA(C5:C54)</f>
        <v>7</v>
      </c>
      <c r="D4" s="44">
        <f>COUNTIF(H5:H54,"Completed")</f>
        <v>0</v>
      </c>
      <c r="E4" s="43">
        <f>COUNTIF(H5:H54,"In Progress")</f>
        <v>0</v>
      </c>
      <c r="F4" s="45">
        <f>IFERROR(COUNTIF(H5:H54,"Completed")/COUNTA(H5:H54),0)</f>
        <v>0</v>
      </c>
    </row>
    <row r="5" spans="2:10" x14ac:dyDescent="0.3">
      <c r="B5" s="6" t="s">
        <v>64</v>
      </c>
      <c r="C5" s="6"/>
      <c r="D5" s="6"/>
      <c r="E5" s="6"/>
      <c r="F5" s="6"/>
      <c r="G5" s="6"/>
      <c r="H5" s="6"/>
      <c r="I5" s="6"/>
    </row>
    <row r="6" spans="2:10" x14ac:dyDescent="0.3">
      <c r="B6" s="46" t="s">
        <v>10</v>
      </c>
      <c r="C6" s="46" t="s">
        <v>65</v>
      </c>
      <c r="D6" s="46" t="s">
        <v>12</v>
      </c>
      <c r="E6" s="46" t="s">
        <v>14</v>
      </c>
      <c r="F6" s="46" t="s">
        <v>15</v>
      </c>
      <c r="G6" s="46" t="s">
        <v>66</v>
      </c>
      <c r="H6" s="46" t="s">
        <v>17</v>
      </c>
      <c r="I6" s="46" t="s">
        <v>16</v>
      </c>
      <c r="J6" s="46" t="s">
        <v>67</v>
      </c>
    </row>
    <row r="7" spans="2:10" x14ac:dyDescent="0.3">
      <c r="B7" s="33">
        <v>1</v>
      </c>
      <c r="C7" s="34" t="s">
        <v>68</v>
      </c>
      <c r="D7" s="35" t="s">
        <v>19</v>
      </c>
      <c r="E7" s="37" t="s">
        <v>33</v>
      </c>
      <c r="F7" s="47">
        <v>0.5</v>
      </c>
      <c r="G7" s="35" t="s">
        <v>69</v>
      </c>
      <c r="H7" s="32" t="s">
        <v>23</v>
      </c>
      <c r="I7" s="31" t="s">
        <v>22</v>
      </c>
      <c r="J7" s="48" t="s">
        <v>70</v>
      </c>
    </row>
    <row r="8" spans="2:10" x14ac:dyDescent="0.3">
      <c r="B8" s="49">
        <v>2</v>
      </c>
      <c r="C8" s="50" t="s">
        <v>34</v>
      </c>
      <c r="D8" s="51" t="s">
        <v>35</v>
      </c>
      <c r="E8" s="52" t="s">
        <v>21</v>
      </c>
      <c r="F8" s="53">
        <v>0.4</v>
      </c>
      <c r="G8" s="51" t="s">
        <v>71</v>
      </c>
      <c r="H8" s="32" t="s">
        <v>23</v>
      </c>
      <c r="I8" s="31" t="s">
        <v>22</v>
      </c>
      <c r="J8" s="54"/>
    </row>
    <row r="9" spans="2:10" x14ac:dyDescent="0.3">
      <c r="B9" s="33">
        <v>3</v>
      </c>
      <c r="C9" s="34" t="s">
        <v>72</v>
      </c>
      <c r="D9" s="35" t="s">
        <v>28</v>
      </c>
      <c r="E9" s="37" t="s">
        <v>47</v>
      </c>
      <c r="F9" s="47">
        <v>0.6</v>
      </c>
      <c r="G9" s="35" t="s">
        <v>73</v>
      </c>
      <c r="H9" s="32" t="s">
        <v>23</v>
      </c>
      <c r="I9" s="31" t="s">
        <v>22</v>
      </c>
      <c r="J9" s="48" t="s">
        <v>74</v>
      </c>
    </row>
    <row r="10" spans="2:10" x14ac:dyDescent="0.3">
      <c r="B10" s="49">
        <v>4</v>
      </c>
      <c r="C10" s="50" t="s">
        <v>75</v>
      </c>
      <c r="D10" s="51" t="s">
        <v>37</v>
      </c>
      <c r="E10" s="52" t="s">
        <v>44</v>
      </c>
      <c r="F10" s="53">
        <v>0.3</v>
      </c>
      <c r="G10" s="51" t="s">
        <v>76</v>
      </c>
      <c r="H10" s="39" t="s">
        <v>45</v>
      </c>
      <c r="I10" s="31" t="s">
        <v>22</v>
      </c>
      <c r="J10" s="54"/>
    </row>
    <row r="11" spans="2:10" x14ac:dyDescent="0.3">
      <c r="B11" s="33">
        <v>5</v>
      </c>
      <c r="C11" s="34" t="s">
        <v>77</v>
      </c>
      <c r="D11" s="35" t="s">
        <v>37</v>
      </c>
      <c r="E11" s="37" t="s">
        <v>21</v>
      </c>
      <c r="F11" s="47">
        <v>0.42</v>
      </c>
      <c r="G11" s="35" t="s">
        <v>78</v>
      </c>
      <c r="H11" s="38" t="s">
        <v>30</v>
      </c>
      <c r="I11" s="31" t="s">
        <v>22</v>
      </c>
      <c r="J11" s="48"/>
    </row>
    <row r="12" spans="2:10" x14ac:dyDescent="0.3">
      <c r="B12" s="49">
        <v>6</v>
      </c>
      <c r="C12" s="50" t="s">
        <v>79</v>
      </c>
      <c r="D12" s="51" t="s">
        <v>19</v>
      </c>
      <c r="E12" s="52" t="s">
        <v>47</v>
      </c>
      <c r="F12" s="53">
        <v>0.55000000000000004</v>
      </c>
      <c r="G12" s="51" t="s">
        <v>80</v>
      </c>
      <c r="H12" s="32" t="s">
        <v>23</v>
      </c>
      <c r="I12" s="31" t="s">
        <v>22</v>
      </c>
      <c r="J12" s="54"/>
    </row>
    <row r="13" spans="2:10" x14ac:dyDescent="0.3">
      <c r="B13" s="55">
        <v>7</v>
      </c>
      <c r="C13" s="34"/>
      <c r="D13" s="34"/>
      <c r="E13" s="34"/>
      <c r="F13" s="34"/>
      <c r="G13" s="34"/>
      <c r="H13" s="34"/>
      <c r="I13" s="34"/>
      <c r="J13" s="34"/>
    </row>
    <row r="14" spans="2:10" x14ac:dyDescent="0.3">
      <c r="B14" s="56">
        <v>8</v>
      </c>
      <c r="C14" s="50"/>
      <c r="D14" s="50"/>
      <c r="E14" s="50"/>
      <c r="F14" s="50"/>
      <c r="G14" s="50"/>
      <c r="H14" s="50"/>
      <c r="I14" s="50"/>
      <c r="J14" s="50"/>
    </row>
    <row r="15" spans="2:10" x14ac:dyDescent="0.3">
      <c r="B15" s="55">
        <v>9</v>
      </c>
      <c r="C15" s="34"/>
      <c r="D15" s="34"/>
      <c r="E15" s="34"/>
      <c r="F15" s="34"/>
      <c r="G15" s="34"/>
      <c r="H15" s="34"/>
      <c r="I15" s="34"/>
      <c r="J15" s="34"/>
    </row>
    <row r="16" spans="2:10" x14ac:dyDescent="0.3">
      <c r="B16" s="56">
        <v>10</v>
      </c>
      <c r="C16" s="50"/>
      <c r="D16" s="50"/>
      <c r="E16" s="50"/>
      <c r="F16" s="50"/>
      <c r="G16" s="50"/>
      <c r="H16" s="50"/>
      <c r="I16" s="50"/>
      <c r="J16" s="50"/>
    </row>
    <row r="17" spans="2:10" x14ac:dyDescent="0.3">
      <c r="B17" s="55">
        <v>11</v>
      </c>
      <c r="C17" s="34"/>
      <c r="D17" s="34"/>
      <c r="E17" s="34"/>
      <c r="F17" s="34"/>
      <c r="G17" s="34"/>
      <c r="H17" s="34"/>
      <c r="I17" s="34"/>
      <c r="J17" s="34"/>
    </row>
    <row r="18" spans="2:10" x14ac:dyDescent="0.3">
      <c r="B18" s="56">
        <v>12</v>
      </c>
      <c r="C18" s="50"/>
      <c r="D18" s="50"/>
      <c r="E18" s="50"/>
      <c r="F18" s="50"/>
      <c r="G18" s="50"/>
      <c r="H18" s="50"/>
      <c r="I18" s="50"/>
      <c r="J18" s="50"/>
    </row>
    <row r="19" spans="2:10" x14ac:dyDescent="0.3">
      <c r="B19" s="55">
        <v>13</v>
      </c>
      <c r="C19" s="34"/>
      <c r="D19" s="34"/>
      <c r="E19" s="34"/>
      <c r="F19" s="34"/>
      <c r="G19" s="34"/>
      <c r="H19" s="34"/>
      <c r="I19" s="34"/>
      <c r="J19" s="34"/>
    </row>
    <row r="20" spans="2:10" x14ac:dyDescent="0.3">
      <c r="B20" s="56">
        <v>14</v>
      </c>
      <c r="C20" s="50"/>
      <c r="D20" s="50"/>
      <c r="E20" s="50"/>
      <c r="F20" s="50"/>
      <c r="G20" s="50"/>
      <c r="H20" s="50"/>
      <c r="I20" s="50"/>
      <c r="J20" s="50"/>
    </row>
    <row r="21" spans="2:10" x14ac:dyDescent="0.3">
      <c r="B21" s="55">
        <v>15</v>
      </c>
      <c r="C21" s="34"/>
      <c r="D21" s="34"/>
      <c r="E21" s="34"/>
      <c r="F21" s="34"/>
      <c r="G21" s="34"/>
      <c r="H21" s="34"/>
      <c r="I21" s="34"/>
      <c r="J21" s="34"/>
    </row>
    <row r="22" spans="2:10" x14ac:dyDescent="0.3">
      <c r="B22" s="56">
        <v>16</v>
      </c>
      <c r="C22" s="50"/>
      <c r="D22" s="50"/>
      <c r="E22" s="50"/>
      <c r="F22" s="50"/>
      <c r="G22" s="50"/>
      <c r="H22" s="50"/>
      <c r="I22" s="50"/>
      <c r="J22" s="50"/>
    </row>
    <row r="23" spans="2:10" x14ac:dyDescent="0.3">
      <c r="B23" s="55">
        <v>17</v>
      </c>
      <c r="C23" s="34"/>
      <c r="D23" s="34"/>
      <c r="E23" s="34"/>
      <c r="F23" s="34"/>
      <c r="G23" s="34"/>
      <c r="H23" s="34"/>
      <c r="I23" s="34"/>
      <c r="J23" s="34"/>
    </row>
    <row r="24" spans="2:10" x14ac:dyDescent="0.3">
      <c r="B24" s="56">
        <v>18</v>
      </c>
      <c r="C24" s="50"/>
      <c r="D24" s="50"/>
      <c r="E24" s="50"/>
      <c r="F24" s="50"/>
      <c r="G24" s="50"/>
      <c r="H24" s="50"/>
      <c r="I24" s="50"/>
      <c r="J24" s="50"/>
    </row>
    <row r="25" spans="2:10" x14ac:dyDescent="0.3">
      <c r="B25" s="55">
        <v>19</v>
      </c>
      <c r="C25" s="34"/>
      <c r="D25" s="34"/>
      <c r="E25" s="34"/>
      <c r="F25" s="34"/>
      <c r="G25" s="34"/>
      <c r="H25" s="34"/>
      <c r="I25" s="34"/>
      <c r="J25" s="34"/>
    </row>
    <row r="26" spans="2:10" x14ac:dyDescent="0.3">
      <c r="B26" s="56">
        <v>20</v>
      </c>
      <c r="C26" s="50"/>
      <c r="D26" s="50"/>
      <c r="E26" s="50"/>
      <c r="F26" s="50"/>
      <c r="G26" s="50"/>
      <c r="H26" s="50"/>
      <c r="I26" s="50"/>
      <c r="J26" s="50"/>
    </row>
    <row r="27" spans="2:10" x14ac:dyDescent="0.3">
      <c r="B27" s="55">
        <v>21</v>
      </c>
      <c r="C27" s="34"/>
      <c r="D27" s="34"/>
      <c r="E27" s="34"/>
      <c r="F27" s="34"/>
      <c r="G27" s="34"/>
      <c r="H27" s="34"/>
      <c r="I27" s="34"/>
      <c r="J27" s="34"/>
    </row>
    <row r="28" spans="2:10" x14ac:dyDescent="0.3">
      <c r="B28" s="56">
        <v>22</v>
      </c>
      <c r="C28" s="50"/>
      <c r="D28" s="50"/>
      <c r="E28" s="50"/>
      <c r="F28" s="50"/>
      <c r="G28" s="50"/>
      <c r="H28" s="50"/>
      <c r="I28" s="50"/>
      <c r="J28" s="50"/>
    </row>
    <row r="29" spans="2:10" x14ac:dyDescent="0.3">
      <c r="B29" s="55">
        <v>23</v>
      </c>
      <c r="C29" s="34"/>
      <c r="D29" s="34"/>
      <c r="E29" s="34"/>
      <c r="F29" s="34"/>
      <c r="G29" s="34"/>
      <c r="H29" s="34"/>
      <c r="I29" s="34"/>
      <c r="J29" s="34"/>
    </row>
    <row r="30" spans="2:10" x14ac:dyDescent="0.3">
      <c r="B30" s="56">
        <v>24</v>
      </c>
      <c r="C30" s="50"/>
      <c r="D30" s="50"/>
      <c r="E30" s="50"/>
      <c r="F30" s="50"/>
      <c r="G30" s="50"/>
      <c r="H30" s="50"/>
      <c r="I30" s="50"/>
      <c r="J30" s="50"/>
    </row>
    <row r="31" spans="2:10" x14ac:dyDescent="0.3">
      <c r="B31" s="55">
        <v>25</v>
      </c>
      <c r="C31" s="34"/>
      <c r="D31" s="34"/>
      <c r="E31" s="34"/>
      <c r="F31" s="34"/>
      <c r="G31" s="34"/>
      <c r="H31" s="34"/>
      <c r="I31" s="34"/>
      <c r="J31" s="34"/>
    </row>
    <row r="32" spans="2:10" x14ac:dyDescent="0.3">
      <c r="B32" s="56">
        <v>26</v>
      </c>
      <c r="C32" s="50"/>
      <c r="D32" s="50"/>
      <c r="E32" s="50"/>
      <c r="F32" s="50"/>
      <c r="G32" s="50"/>
      <c r="H32" s="50"/>
      <c r="I32" s="50"/>
      <c r="J32" s="50"/>
    </row>
    <row r="33" spans="2:10" x14ac:dyDescent="0.3">
      <c r="B33" s="55">
        <v>27</v>
      </c>
      <c r="C33" s="34"/>
      <c r="D33" s="34"/>
      <c r="E33" s="34"/>
      <c r="F33" s="34"/>
      <c r="G33" s="34"/>
      <c r="H33" s="34"/>
      <c r="I33" s="34"/>
      <c r="J33" s="34"/>
    </row>
    <row r="34" spans="2:10" x14ac:dyDescent="0.3">
      <c r="B34" s="56">
        <v>28</v>
      </c>
      <c r="C34" s="50"/>
      <c r="D34" s="50"/>
      <c r="E34" s="50"/>
      <c r="F34" s="50"/>
      <c r="G34" s="50"/>
      <c r="H34" s="50"/>
      <c r="I34" s="50"/>
      <c r="J34" s="50"/>
    </row>
    <row r="35" spans="2:10" x14ac:dyDescent="0.3">
      <c r="B35" s="55">
        <v>29</v>
      </c>
      <c r="C35" s="34"/>
      <c r="D35" s="34"/>
      <c r="E35" s="34"/>
      <c r="F35" s="34"/>
      <c r="G35" s="34"/>
      <c r="H35" s="34"/>
      <c r="I35" s="34"/>
      <c r="J35" s="34"/>
    </row>
    <row r="36" spans="2:10" x14ac:dyDescent="0.3">
      <c r="B36" s="56">
        <v>30</v>
      </c>
      <c r="C36" s="50"/>
      <c r="D36" s="50"/>
      <c r="E36" s="50"/>
      <c r="F36" s="50"/>
      <c r="G36" s="50"/>
      <c r="H36" s="50"/>
      <c r="I36" s="50"/>
      <c r="J36" s="50"/>
    </row>
    <row r="37" spans="2:10" x14ac:dyDescent="0.3">
      <c r="B37" s="55">
        <v>31</v>
      </c>
      <c r="C37" s="34"/>
      <c r="D37" s="34"/>
      <c r="E37" s="34"/>
      <c r="F37" s="34"/>
      <c r="G37" s="34"/>
      <c r="H37" s="34"/>
      <c r="I37" s="34"/>
      <c r="J37" s="34"/>
    </row>
    <row r="38" spans="2:10" x14ac:dyDescent="0.3">
      <c r="B38" s="56">
        <v>32</v>
      </c>
      <c r="C38" s="50"/>
      <c r="D38" s="50"/>
      <c r="E38" s="50"/>
      <c r="F38" s="50"/>
      <c r="G38" s="50"/>
      <c r="H38" s="50"/>
      <c r="I38" s="50"/>
      <c r="J38" s="50"/>
    </row>
    <row r="39" spans="2:10" x14ac:dyDescent="0.3">
      <c r="B39" s="55">
        <v>33</v>
      </c>
      <c r="C39" s="34"/>
      <c r="D39" s="34"/>
      <c r="E39" s="34"/>
      <c r="F39" s="34"/>
      <c r="G39" s="34"/>
      <c r="H39" s="34"/>
      <c r="I39" s="34"/>
      <c r="J39" s="34"/>
    </row>
    <row r="40" spans="2:10" x14ac:dyDescent="0.3">
      <c r="B40" s="56">
        <v>34</v>
      </c>
      <c r="C40" s="50"/>
      <c r="D40" s="50"/>
      <c r="E40" s="50"/>
      <c r="F40" s="50"/>
      <c r="G40" s="50"/>
      <c r="H40" s="50"/>
      <c r="I40" s="50"/>
      <c r="J40" s="50"/>
    </row>
    <row r="41" spans="2:10" x14ac:dyDescent="0.3">
      <c r="B41" s="55">
        <v>35</v>
      </c>
      <c r="C41" s="34"/>
      <c r="D41" s="34"/>
      <c r="E41" s="34"/>
      <c r="F41" s="34"/>
      <c r="G41" s="34"/>
      <c r="H41" s="34"/>
      <c r="I41" s="34"/>
      <c r="J41" s="34"/>
    </row>
    <row r="42" spans="2:10" x14ac:dyDescent="0.3">
      <c r="B42" s="56">
        <v>36</v>
      </c>
      <c r="C42" s="50"/>
      <c r="D42" s="50"/>
      <c r="E42" s="50"/>
      <c r="F42" s="50"/>
      <c r="G42" s="50"/>
      <c r="H42" s="50"/>
      <c r="I42" s="50"/>
      <c r="J42" s="50"/>
    </row>
    <row r="43" spans="2:10" x14ac:dyDescent="0.3">
      <c r="B43" s="55">
        <v>37</v>
      </c>
      <c r="C43" s="34"/>
      <c r="D43" s="34"/>
      <c r="E43" s="34"/>
      <c r="F43" s="34"/>
      <c r="G43" s="34"/>
      <c r="H43" s="34"/>
      <c r="I43" s="34"/>
      <c r="J43" s="34"/>
    </row>
    <row r="44" spans="2:10" x14ac:dyDescent="0.3">
      <c r="B44" s="56">
        <v>38</v>
      </c>
      <c r="C44" s="50"/>
      <c r="D44" s="50"/>
      <c r="E44" s="50"/>
      <c r="F44" s="50"/>
      <c r="G44" s="50"/>
      <c r="H44" s="50"/>
      <c r="I44" s="50"/>
      <c r="J44" s="50"/>
    </row>
    <row r="45" spans="2:10" x14ac:dyDescent="0.3">
      <c r="B45" s="55">
        <v>39</v>
      </c>
      <c r="C45" s="34"/>
      <c r="D45" s="34"/>
      <c r="E45" s="34"/>
      <c r="F45" s="34"/>
      <c r="G45" s="34"/>
      <c r="H45" s="34"/>
      <c r="I45" s="34"/>
      <c r="J45" s="34"/>
    </row>
    <row r="46" spans="2:10" x14ac:dyDescent="0.3">
      <c r="B46" s="56">
        <v>40</v>
      </c>
      <c r="C46" s="50"/>
      <c r="D46" s="50"/>
      <c r="E46" s="50"/>
      <c r="F46" s="50"/>
      <c r="G46" s="50"/>
      <c r="H46" s="50"/>
      <c r="I46" s="50"/>
      <c r="J46" s="50"/>
    </row>
    <row r="47" spans="2:10" x14ac:dyDescent="0.3">
      <c r="B47" s="55">
        <v>41</v>
      </c>
      <c r="C47" s="34"/>
      <c r="D47" s="34"/>
      <c r="E47" s="34"/>
      <c r="F47" s="34"/>
      <c r="G47" s="34"/>
      <c r="H47" s="34"/>
      <c r="I47" s="34"/>
      <c r="J47" s="34"/>
    </row>
    <row r="48" spans="2:10" x14ac:dyDescent="0.3">
      <c r="B48" s="56">
        <v>42</v>
      </c>
      <c r="C48" s="50"/>
      <c r="D48" s="50"/>
      <c r="E48" s="50"/>
      <c r="F48" s="50"/>
      <c r="G48" s="50"/>
      <c r="H48" s="50"/>
      <c r="I48" s="50"/>
      <c r="J48" s="50"/>
    </row>
    <row r="49" spans="2:10" x14ac:dyDescent="0.3">
      <c r="B49" s="55">
        <v>43</v>
      </c>
      <c r="C49" s="34"/>
      <c r="D49" s="34"/>
      <c r="E49" s="34"/>
      <c r="F49" s="34"/>
      <c r="G49" s="34"/>
      <c r="H49" s="34"/>
      <c r="I49" s="34"/>
      <c r="J49" s="34"/>
    </row>
    <row r="50" spans="2:10" x14ac:dyDescent="0.3">
      <c r="B50" s="56">
        <v>44</v>
      </c>
      <c r="C50" s="50"/>
      <c r="D50" s="50"/>
      <c r="E50" s="50"/>
      <c r="F50" s="50"/>
      <c r="G50" s="50"/>
      <c r="H50" s="50"/>
      <c r="I50" s="50"/>
      <c r="J50" s="50"/>
    </row>
    <row r="51" spans="2:10" x14ac:dyDescent="0.3">
      <c r="B51" s="55">
        <v>45</v>
      </c>
      <c r="C51" s="34"/>
      <c r="D51" s="34"/>
      <c r="E51" s="34"/>
      <c r="F51" s="34"/>
      <c r="G51" s="34"/>
      <c r="H51" s="34"/>
      <c r="I51" s="34"/>
      <c r="J51" s="34"/>
    </row>
    <row r="52" spans="2:10" x14ac:dyDescent="0.3">
      <c r="B52" s="56">
        <v>46</v>
      </c>
      <c r="C52" s="50"/>
      <c r="D52" s="50"/>
      <c r="E52" s="50"/>
      <c r="F52" s="50"/>
      <c r="G52" s="50"/>
      <c r="H52" s="50"/>
      <c r="I52" s="50"/>
      <c r="J52" s="50"/>
    </row>
    <row r="53" spans="2:10" x14ac:dyDescent="0.3">
      <c r="B53" s="55">
        <v>47</v>
      </c>
      <c r="C53" s="34"/>
      <c r="D53" s="34"/>
      <c r="E53" s="34"/>
      <c r="F53" s="34"/>
      <c r="G53" s="34"/>
      <c r="H53" s="34"/>
      <c r="I53" s="34"/>
      <c r="J53" s="34"/>
    </row>
    <row r="54" spans="2:10" x14ac:dyDescent="0.3">
      <c r="B54" s="56">
        <v>48</v>
      </c>
      <c r="C54" s="50"/>
      <c r="D54" s="50"/>
      <c r="E54" s="50"/>
      <c r="F54" s="50"/>
      <c r="G54" s="50"/>
      <c r="H54" s="50"/>
      <c r="I54" s="50"/>
      <c r="J54" s="50"/>
    </row>
    <row r="55" spans="2:10" x14ac:dyDescent="0.3">
      <c r="B55" s="55">
        <v>49</v>
      </c>
      <c r="C55" s="34"/>
      <c r="D55" s="34"/>
      <c r="E55" s="34"/>
      <c r="F55" s="34"/>
      <c r="G55" s="34"/>
      <c r="H55" s="34"/>
      <c r="I55" s="34"/>
      <c r="J55" s="34"/>
    </row>
    <row r="56" spans="2:10" x14ac:dyDescent="0.3">
      <c r="B56" s="56">
        <v>50</v>
      </c>
      <c r="C56" s="50"/>
      <c r="D56" s="50"/>
      <c r="E56" s="50"/>
      <c r="F56" s="50"/>
      <c r="G56" s="50"/>
      <c r="H56" s="50"/>
      <c r="I56" s="50"/>
      <c r="J56" s="50"/>
    </row>
    <row r="58" spans="2:10" x14ac:dyDescent="0.3">
      <c r="B58" s="5" t="s">
        <v>81</v>
      </c>
      <c r="C58" s="5"/>
      <c r="D58" s="5"/>
      <c r="E58" s="5"/>
      <c r="F58" s="5"/>
      <c r="G58" s="5"/>
      <c r="H58" s="5"/>
      <c r="I58" s="5"/>
    </row>
  </sheetData>
  <mergeCells count="4">
    <mergeCell ref="B1:I1"/>
    <mergeCell ref="B2:I2"/>
    <mergeCell ref="B5:I5"/>
    <mergeCell ref="B58:I58"/>
  </mergeCells>
  <dataValidations count="2">
    <dataValidation type="list" allowBlank="1" sqref="G7:G12" xr:uid="{00000000-0002-0000-0100-000000000000}">
      <formula1>"High,Medium,Low"</formula1>
      <formula2>0</formula2>
    </dataValidation>
    <dataValidation type="list" allowBlank="1" sqref="I7:I12" xr:uid="{00000000-0002-0000-0100-000001000000}">
      <formula1>"Not Started,In Progress,Completed,Paused,Cancelled"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8"/>
  <sheetViews>
    <sheetView showGridLines="0" zoomScaleNormal="100" workbookViewId="0">
      <selection activeCell="I17" sqref="I17"/>
    </sheetView>
  </sheetViews>
  <sheetFormatPr defaultColWidth="8.6640625" defaultRowHeight="14.4" x14ac:dyDescent="0.3"/>
  <cols>
    <col min="1" max="1" width="2" customWidth="1"/>
    <col min="2" max="2" width="3" bestFit="1" customWidth="1"/>
    <col min="3" max="3" width="38.21875" bestFit="1" customWidth="1"/>
    <col min="4" max="4" width="14.44140625" bestFit="1" customWidth="1"/>
    <col min="5" max="5" width="11.21875" bestFit="1" customWidth="1"/>
    <col min="6" max="6" width="14" bestFit="1" customWidth="1"/>
    <col min="7" max="7" width="25" bestFit="1" customWidth="1"/>
    <col min="8" max="8" width="7.44140625" bestFit="1" customWidth="1"/>
    <col min="9" max="9" width="9.88671875" bestFit="1" customWidth="1"/>
    <col min="10" max="10" width="18.21875" bestFit="1" customWidth="1"/>
  </cols>
  <sheetData>
    <row r="1" spans="2:10" ht="22.8" x14ac:dyDescent="0.3">
      <c r="B1" s="4" t="s">
        <v>82</v>
      </c>
      <c r="C1" s="4"/>
      <c r="D1" s="4"/>
      <c r="E1" s="4"/>
      <c r="F1" s="4"/>
      <c r="G1" s="4"/>
      <c r="H1" s="4"/>
      <c r="I1" s="4"/>
    </row>
    <row r="2" spans="2:10" x14ac:dyDescent="0.3">
      <c r="B2" s="3" t="s">
        <v>60</v>
      </c>
      <c r="C2" s="3"/>
      <c r="D2" s="3"/>
      <c r="E2" s="3"/>
      <c r="F2" s="3"/>
      <c r="G2" s="3"/>
      <c r="H2" s="3"/>
      <c r="I2" s="3"/>
    </row>
    <row r="3" spans="2:10" x14ac:dyDescent="0.3">
      <c r="C3" s="57" t="s">
        <v>61</v>
      </c>
      <c r="D3" s="18" t="s">
        <v>62</v>
      </c>
      <c r="E3" s="15" t="s">
        <v>22</v>
      </c>
      <c r="F3" s="19" t="s">
        <v>63</v>
      </c>
    </row>
    <row r="4" spans="2:10" ht="21" x14ac:dyDescent="0.3">
      <c r="C4" s="58">
        <f>COUNTA(C7:C54)</f>
        <v>6</v>
      </c>
      <c r="D4" s="44">
        <f>COUNTIF(H5:H54,"Completed")</f>
        <v>0</v>
      </c>
      <c r="E4" s="43">
        <f>COUNTIF(H5:H54,"In Progress")</f>
        <v>0</v>
      </c>
      <c r="F4" s="45">
        <f>IFERROR(COUNTIF(H5:H54,"Completed")/COUNTA(H5:H54),0)</f>
        <v>0</v>
      </c>
    </row>
    <row r="5" spans="2:10" x14ac:dyDescent="0.3">
      <c r="B5" s="2" t="s">
        <v>83</v>
      </c>
      <c r="C5" s="2"/>
      <c r="D5" s="2"/>
      <c r="E5" s="2"/>
      <c r="F5" s="2"/>
      <c r="G5" s="2"/>
      <c r="H5" s="2"/>
      <c r="I5" s="2"/>
    </row>
    <row r="6" spans="2:10" x14ac:dyDescent="0.3">
      <c r="B6" s="59" t="s">
        <v>10</v>
      </c>
      <c r="C6" s="59" t="s">
        <v>65</v>
      </c>
      <c r="D6" s="59" t="s">
        <v>12</v>
      </c>
      <c r="E6" s="59" t="s">
        <v>14</v>
      </c>
      <c r="F6" s="59" t="s">
        <v>15</v>
      </c>
      <c r="G6" s="59" t="s">
        <v>66</v>
      </c>
      <c r="H6" s="59" t="s">
        <v>17</v>
      </c>
      <c r="I6" s="59" t="s">
        <v>16</v>
      </c>
      <c r="J6" s="59" t="s">
        <v>67</v>
      </c>
    </row>
    <row r="7" spans="2:10" x14ac:dyDescent="0.3">
      <c r="B7" s="33">
        <v>1</v>
      </c>
      <c r="C7" s="34" t="s">
        <v>39</v>
      </c>
      <c r="D7" s="35" t="s">
        <v>19</v>
      </c>
      <c r="E7" s="37" t="s">
        <v>40</v>
      </c>
      <c r="F7" s="47">
        <v>0.2</v>
      </c>
      <c r="G7" s="35" t="s">
        <v>84</v>
      </c>
      <c r="H7" s="32" t="s">
        <v>23</v>
      </c>
      <c r="I7" s="31" t="s">
        <v>22</v>
      </c>
      <c r="J7" s="48"/>
    </row>
    <row r="8" spans="2:10" x14ac:dyDescent="0.3">
      <c r="B8" s="60">
        <v>2</v>
      </c>
      <c r="C8" s="61" t="s">
        <v>36</v>
      </c>
      <c r="D8" s="62" t="s">
        <v>37</v>
      </c>
      <c r="E8" s="63" t="s">
        <v>21</v>
      </c>
      <c r="F8" s="64">
        <v>0.57999999999999996</v>
      </c>
      <c r="G8" s="62" t="s">
        <v>85</v>
      </c>
      <c r="H8" s="38" t="s">
        <v>30</v>
      </c>
      <c r="I8" s="31" t="s">
        <v>22</v>
      </c>
      <c r="J8" s="65"/>
    </row>
    <row r="9" spans="2:10" x14ac:dyDescent="0.3">
      <c r="B9" s="33">
        <v>3</v>
      </c>
      <c r="C9" s="34" t="s">
        <v>46</v>
      </c>
      <c r="D9" s="35" t="s">
        <v>28</v>
      </c>
      <c r="E9" s="37" t="s">
        <v>47</v>
      </c>
      <c r="F9" s="47">
        <v>0.65</v>
      </c>
      <c r="G9" s="35" t="s">
        <v>86</v>
      </c>
      <c r="H9" s="38" t="s">
        <v>30</v>
      </c>
      <c r="I9" s="31" t="s">
        <v>22</v>
      </c>
      <c r="J9" s="48" t="s">
        <v>87</v>
      </c>
    </row>
    <row r="10" spans="2:10" x14ac:dyDescent="0.3">
      <c r="B10" s="60">
        <v>4</v>
      </c>
      <c r="C10" s="61" t="s">
        <v>88</v>
      </c>
      <c r="D10" s="62" t="s">
        <v>28</v>
      </c>
      <c r="E10" s="63" t="s">
        <v>29</v>
      </c>
      <c r="F10" s="64">
        <v>0.5</v>
      </c>
      <c r="G10" s="62" t="s">
        <v>89</v>
      </c>
      <c r="H10" s="38" t="s">
        <v>30</v>
      </c>
      <c r="I10" s="31" t="s">
        <v>22</v>
      </c>
      <c r="J10" s="65"/>
    </row>
    <row r="11" spans="2:10" x14ac:dyDescent="0.3">
      <c r="B11" s="33">
        <v>5</v>
      </c>
      <c r="C11" s="34" t="s">
        <v>90</v>
      </c>
      <c r="D11" s="35" t="s">
        <v>35</v>
      </c>
      <c r="E11" s="37" t="s">
        <v>21</v>
      </c>
      <c r="F11" s="47">
        <v>0.4</v>
      </c>
      <c r="G11" s="35" t="s">
        <v>91</v>
      </c>
      <c r="H11" s="32" t="s">
        <v>23</v>
      </c>
      <c r="I11" s="31" t="s">
        <v>22</v>
      </c>
      <c r="J11" s="48"/>
    </row>
    <row r="12" spans="2:10" x14ac:dyDescent="0.3">
      <c r="B12" s="60">
        <v>6</v>
      </c>
      <c r="C12" s="61" t="s">
        <v>92</v>
      </c>
      <c r="D12" s="62" t="s">
        <v>25</v>
      </c>
      <c r="E12" s="63" t="s">
        <v>26</v>
      </c>
      <c r="F12" s="64">
        <v>0.1</v>
      </c>
      <c r="G12" s="62" t="s">
        <v>93</v>
      </c>
      <c r="H12" s="38" t="s">
        <v>30</v>
      </c>
      <c r="I12" s="66" t="s">
        <v>94</v>
      </c>
      <c r="J12" s="65"/>
    </row>
    <row r="13" spans="2:10" x14ac:dyDescent="0.3">
      <c r="B13" s="55">
        <v>7</v>
      </c>
      <c r="C13" s="34"/>
      <c r="D13" s="34"/>
      <c r="E13" s="34"/>
      <c r="F13" s="34"/>
      <c r="G13" s="34"/>
      <c r="H13" s="34"/>
      <c r="I13" s="34"/>
      <c r="J13" s="34"/>
    </row>
    <row r="14" spans="2:10" x14ac:dyDescent="0.3">
      <c r="B14" s="67">
        <v>8</v>
      </c>
      <c r="C14" s="61"/>
      <c r="D14" s="61"/>
      <c r="E14" s="61"/>
      <c r="F14" s="61"/>
      <c r="G14" s="61"/>
      <c r="H14" s="61"/>
      <c r="I14" s="61"/>
      <c r="J14" s="61"/>
    </row>
    <row r="15" spans="2:10" x14ac:dyDescent="0.3">
      <c r="B15" s="55">
        <v>9</v>
      </c>
      <c r="C15" s="34"/>
      <c r="D15" s="34"/>
      <c r="E15" s="34"/>
      <c r="F15" s="34"/>
      <c r="G15" s="34"/>
      <c r="H15" s="34"/>
      <c r="I15" s="34"/>
      <c r="J15" s="34"/>
    </row>
    <row r="16" spans="2:10" x14ac:dyDescent="0.3">
      <c r="B16" s="67">
        <v>10</v>
      </c>
      <c r="C16" s="61"/>
      <c r="D16" s="61"/>
      <c r="E16" s="61"/>
      <c r="F16" s="61"/>
      <c r="G16" s="61"/>
      <c r="H16" s="61"/>
      <c r="I16" s="61"/>
      <c r="J16" s="61"/>
    </row>
    <row r="17" spans="2:10" x14ac:dyDescent="0.3">
      <c r="B17" s="55">
        <v>11</v>
      </c>
      <c r="C17" s="34"/>
      <c r="D17" s="34"/>
      <c r="E17" s="34"/>
      <c r="F17" s="34"/>
      <c r="G17" s="34"/>
      <c r="H17" s="34"/>
      <c r="I17" s="34"/>
      <c r="J17" s="34"/>
    </row>
    <row r="18" spans="2:10" x14ac:dyDescent="0.3">
      <c r="B18" s="67">
        <v>12</v>
      </c>
      <c r="C18" s="61"/>
      <c r="D18" s="61"/>
      <c r="E18" s="61"/>
      <c r="F18" s="61"/>
      <c r="G18" s="61"/>
      <c r="H18" s="61"/>
      <c r="I18" s="61"/>
      <c r="J18" s="61"/>
    </row>
    <row r="19" spans="2:10" x14ac:dyDescent="0.3">
      <c r="B19" s="55">
        <v>13</v>
      </c>
      <c r="C19" s="34"/>
      <c r="D19" s="34"/>
      <c r="E19" s="34"/>
      <c r="F19" s="34"/>
      <c r="G19" s="34"/>
      <c r="H19" s="34"/>
      <c r="I19" s="34"/>
      <c r="J19" s="34"/>
    </row>
    <row r="20" spans="2:10" x14ac:dyDescent="0.3">
      <c r="B20" s="67">
        <v>14</v>
      </c>
      <c r="C20" s="61"/>
      <c r="D20" s="61"/>
      <c r="E20" s="61"/>
      <c r="F20" s="61"/>
      <c r="G20" s="61"/>
      <c r="H20" s="61"/>
      <c r="I20" s="61"/>
      <c r="J20" s="61"/>
    </row>
    <row r="21" spans="2:10" x14ac:dyDescent="0.3">
      <c r="B21" s="55">
        <v>15</v>
      </c>
      <c r="C21" s="34"/>
      <c r="D21" s="34"/>
      <c r="E21" s="34"/>
      <c r="F21" s="34"/>
      <c r="G21" s="34"/>
      <c r="H21" s="34"/>
      <c r="I21" s="34"/>
      <c r="J21" s="34"/>
    </row>
    <row r="22" spans="2:10" x14ac:dyDescent="0.3">
      <c r="B22" s="67">
        <v>16</v>
      </c>
      <c r="C22" s="61"/>
      <c r="D22" s="61"/>
      <c r="E22" s="61"/>
      <c r="F22" s="61"/>
      <c r="G22" s="61"/>
      <c r="H22" s="61"/>
      <c r="I22" s="61"/>
      <c r="J22" s="61"/>
    </row>
    <row r="23" spans="2:10" x14ac:dyDescent="0.3">
      <c r="B23" s="55">
        <v>17</v>
      </c>
      <c r="C23" s="34"/>
      <c r="D23" s="34"/>
      <c r="E23" s="34"/>
      <c r="F23" s="34"/>
      <c r="G23" s="34"/>
      <c r="H23" s="34"/>
      <c r="I23" s="34"/>
      <c r="J23" s="34"/>
    </row>
    <row r="24" spans="2:10" x14ac:dyDescent="0.3">
      <c r="B24" s="67">
        <v>18</v>
      </c>
      <c r="C24" s="61"/>
      <c r="D24" s="61"/>
      <c r="E24" s="61"/>
      <c r="F24" s="61"/>
      <c r="G24" s="61"/>
      <c r="H24" s="61"/>
      <c r="I24" s="61"/>
      <c r="J24" s="61"/>
    </row>
    <row r="25" spans="2:10" x14ac:dyDescent="0.3">
      <c r="B25" s="55">
        <v>19</v>
      </c>
      <c r="C25" s="34"/>
      <c r="D25" s="34"/>
      <c r="E25" s="34"/>
      <c r="F25" s="34"/>
      <c r="G25" s="34"/>
      <c r="H25" s="34"/>
      <c r="I25" s="34"/>
      <c r="J25" s="34"/>
    </row>
    <row r="26" spans="2:10" x14ac:dyDescent="0.3">
      <c r="B26" s="67">
        <v>20</v>
      </c>
      <c r="C26" s="61"/>
      <c r="D26" s="61"/>
      <c r="E26" s="61"/>
      <c r="F26" s="61"/>
      <c r="G26" s="61"/>
      <c r="H26" s="61"/>
      <c r="I26" s="61"/>
      <c r="J26" s="61"/>
    </row>
    <row r="27" spans="2:10" x14ac:dyDescent="0.3">
      <c r="B27" s="55">
        <v>21</v>
      </c>
      <c r="C27" s="34"/>
      <c r="D27" s="34"/>
      <c r="E27" s="34"/>
      <c r="F27" s="34"/>
      <c r="G27" s="34"/>
      <c r="H27" s="34"/>
      <c r="I27" s="34"/>
      <c r="J27" s="34"/>
    </row>
    <row r="28" spans="2:10" x14ac:dyDescent="0.3">
      <c r="B28" s="67">
        <v>22</v>
      </c>
      <c r="C28" s="61"/>
      <c r="D28" s="61"/>
      <c r="E28" s="61"/>
      <c r="F28" s="61"/>
      <c r="G28" s="61"/>
      <c r="H28" s="61"/>
      <c r="I28" s="61"/>
      <c r="J28" s="61"/>
    </row>
    <row r="29" spans="2:10" x14ac:dyDescent="0.3">
      <c r="B29" s="55">
        <v>23</v>
      </c>
      <c r="C29" s="34"/>
      <c r="D29" s="34"/>
      <c r="E29" s="34"/>
      <c r="F29" s="34"/>
      <c r="G29" s="34"/>
      <c r="H29" s="34"/>
      <c r="I29" s="34"/>
      <c r="J29" s="34"/>
    </row>
    <row r="30" spans="2:10" x14ac:dyDescent="0.3">
      <c r="B30" s="67">
        <v>24</v>
      </c>
      <c r="C30" s="61"/>
      <c r="D30" s="61"/>
      <c r="E30" s="61"/>
      <c r="F30" s="61"/>
      <c r="G30" s="61"/>
      <c r="H30" s="61"/>
      <c r="I30" s="61"/>
      <c r="J30" s="61"/>
    </row>
    <row r="31" spans="2:10" x14ac:dyDescent="0.3">
      <c r="B31" s="55">
        <v>25</v>
      </c>
      <c r="C31" s="34"/>
      <c r="D31" s="34"/>
      <c r="E31" s="34"/>
      <c r="F31" s="34"/>
      <c r="G31" s="34"/>
      <c r="H31" s="34"/>
      <c r="I31" s="34"/>
      <c r="J31" s="34"/>
    </row>
    <row r="32" spans="2:10" x14ac:dyDescent="0.3">
      <c r="B32" s="67">
        <v>26</v>
      </c>
      <c r="C32" s="61"/>
      <c r="D32" s="61"/>
      <c r="E32" s="61"/>
      <c r="F32" s="61"/>
      <c r="G32" s="61"/>
      <c r="H32" s="61"/>
      <c r="I32" s="61"/>
      <c r="J32" s="61"/>
    </row>
    <row r="33" spans="2:10" x14ac:dyDescent="0.3">
      <c r="B33" s="55">
        <v>27</v>
      </c>
      <c r="C33" s="34"/>
      <c r="D33" s="34"/>
      <c r="E33" s="34"/>
      <c r="F33" s="34"/>
      <c r="G33" s="34"/>
      <c r="H33" s="34"/>
      <c r="I33" s="34"/>
      <c r="J33" s="34"/>
    </row>
    <row r="34" spans="2:10" x14ac:dyDescent="0.3">
      <c r="B34" s="67">
        <v>28</v>
      </c>
      <c r="C34" s="61"/>
      <c r="D34" s="61"/>
      <c r="E34" s="61"/>
      <c r="F34" s="61"/>
      <c r="G34" s="61"/>
      <c r="H34" s="61"/>
      <c r="I34" s="61"/>
      <c r="J34" s="61"/>
    </row>
    <row r="35" spans="2:10" x14ac:dyDescent="0.3">
      <c r="B35" s="55">
        <v>29</v>
      </c>
      <c r="C35" s="34"/>
      <c r="D35" s="34"/>
      <c r="E35" s="34"/>
      <c r="F35" s="34"/>
      <c r="G35" s="34"/>
      <c r="H35" s="34"/>
      <c r="I35" s="34"/>
      <c r="J35" s="34"/>
    </row>
    <row r="36" spans="2:10" x14ac:dyDescent="0.3">
      <c r="B36" s="67">
        <v>30</v>
      </c>
      <c r="C36" s="61"/>
      <c r="D36" s="61"/>
      <c r="E36" s="61"/>
      <c r="F36" s="61"/>
      <c r="G36" s="61"/>
      <c r="H36" s="61"/>
      <c r="I36" s="61"/>
      <c r="J36" s="61"/>
    </row>
    <row r="37" spans="2:10" x14ac:dyDescent="0.3">
      <c r="B37" s="55">
        <v>31</v>
      </c>
      <c r="C37" s="34"/>
      <c r="D37" s="34"/>
      <c r="E37" s="34"/>
      <c r="F37" s="34"/>
      <c r="G37" s="34"/>
      <c r="H37" s="34"/>
      <c r="I37" s="34"/>
      <c r="J37" s="34"/>
    </row>
    <row r="38" spans="2:10" x14ac:dyDescent="0.3">
      <c r="B38" s="67">
        <v>32</v>
      </c>
      <c r="C38" s="61"/>
      <c r="D38" s="61"/>
      <c r="E38" s="61"/>
      <c r="F38" s="61"/>
      <c r="G38" s="61"/>
      <c r="H38" s="61"/>
      <c r="I38" s="61"/>
      <c r="J38" s="61"/>
    </row>
    <row r="39" spans="2:10" x14ac:dyDescent="0.3">
      <c r="B39" s="55">
        <v>33</v>
      </c>
      <c r="C39" s="34"/>
      <c r="D39" s="34"/>
      <c r="E39" s="34"/>
      <c r="F39" s="34"/>
      <c r="G39" s="34"/>
      <c r="H39" s="34"/>
      <c r="I39" s="34"/>
      <c r="J39" s="34"/>
    </row>
    <row r="40" spans="2:10" x14ac:dyDescent="0.3">
      <c r="B40" s="67">
        <v>34</v>
      </c>
      <c r="C40" s="61"/>
      <c r="D40" s="61"/>
      <c r="E40" s="61"/>
      <c r="F40" s="61"/>
      <c r="G40" s="61"/>
      <c r="H40" s="61"/>
      <c r="I40" s="61"/>
      <c r="J40" s="61"/>
    </row>
    <row r="41" spans="2:10" x14ac:dyDescent="0.3">
      <c r="B41" s="55">
        <v>35</v>
      </c>
      <c r="C41" s="34"/>
      <c r="D41" s="34"/>
      <c r="E41" s="34"/>
      <c r="F41" s="34"/>
      <c r="G41" s="34"/>
      <c r="H41" s="34"/>
      <c r="I41" s="34"/>
      <c r="J41" s="34"/>
    </row>
    <row r="42" spans="2:10" x14ac:dyDescent="0.3">
      <c r="B42" s="67">
        <v>36</v>
      </c>
      <c r="C42" s="61"/>
      <c r="D42" s="61"/>
      <c r="E42" s="61"/>
      <c r="F42" s="61"/>
      <c r="G42" s="61"/>
      <c r="H42" s="61"/>
      <c r="I42" s="61"/>
      <c r="J42" s="61"/>
    </row>
    <row r="43" spans="2:10" x14ac:dyDescent="0.3">
      <c r="B43" s="55">
        <v>37</v>
      </c>
      <c r="C43" s="34"/>
      <c r="D43" s="34"/>
      <c r="E43" s="34"/>
      <c r="F43" s="34"/>
      <c r="G43" s="34"/>
      <c r="H43" s="34"/>
      <c r="I43" s="34"/>
      <c r="J43" s="34"/>
    </row>
    <row r="44" spans="2:10" x14ac:dyDescent="0.3">
      <c r="B44" s="67">
        <v>38</v>
      </c>
      <c r="C44" s="61"/>
      <c r="D44" s="61"/>
      <c r="E44" s="61"/>
      <c r="F44" s="61"/>
      <c r="G44" s="61"/>
      <c r="H44" s="61"/>
      <c r="I44" s="61"/>
      <c r="J44" s="61"/>
    </row>
    <row r="45" spans="2:10" x14ac:dyDescent="0.3">
      <c r="B45" s="55">
        <v>39</v>
      </c>
      <c r="C45" s="34"/>
      <c r="D45" s="34"/>
      <c r="E45" s="34"/>
      <c r="F45" s="34"/>
      <c r="G45" s="34"/>
      <c r="H45" s="34"/>
      <c r="I45" s="34"/>
      <c r="J45" s="34"/>
    </row>
    <row r="46" spans="2:10" x14ac:dyDescent="0.3">
      <c r="B46" s="67">
        <v>40</v>
      </c>
      <c r="C46" s="61"/>
      <c r="D46" s="61"/>
      <c r="E46" s="61"/>
      <c r="F46" s="61"/>
      <c r="G46" s="61"/>
      <c r="H46" s="61"/>
      <c r="I46" s="61"/>
      <c r="J46" s="61"/>
    </row>
    <row r="47" spans="2:10" x14ac:dyDescent="0.3">
      <c r="B47" s="55">
        <v>41</v>
      </c>
      <c r="C47" s="34"/>
      <c r="D47" s="34"/>
      <c r="E47" s="34"/>
      <c r="F47" s="34"/>
      <c r="G47" s="34"/>
      <c r="H47" s="34"/>
      <c r="I47" s="34"/>
      <c r="J47" s="34"/>
    </row>
    <row r="48" spans="2:10" x14ac:dyDescent="0.3">
      <c r="B48" s="67">
        <v>42</v>
      </c>
      <c r="C48" s="61"/>
      <c r="D48" s="61"/>
      <c r="E48" s="61"/>
      <c r="F48" s="61"/>
      <c r="G48" s="61"/>
      <c r="H48" s="61"/>
      <c r="I48" s="61"/>
      <c r="J48" s="61"/>
    </row>
    <row r="49" spans="2:10" x14ac:dyDescent="0.3">
      <c r="B49" s="55">
        <v>43</v>
      </c>
      <c r="C49" s="34"/>
      <c r="D49" s="34"/>
      <c r="E49" s="34"/>
      <c r="F49" s="34"/>
      <c r="G49" s="34"/>
      <c r="H49" s="34"/>
      <c r="I49" s="34"/>
      <c r="J49" s="34"/>
    </row>
    <row r="50" spans="2:10" x14ac:dyDescent="0.3">
      <c r="B50" s="67">
        <v>44</v>
      </c>
      <c r="C50" s="61"/>
      <c r="D50" s="61"/>
      <c r="E50" s="61"/>
      <c r="F50" s="61"/>
      <c r="G50" s="61"/>
      <c r="H50" s="61"/>
      <c r="I50" s="61"/>
      <c r="J50" s="61"/>
    </row>
    <row r="51" spans="2:10" x14ac:dyDescent="0.3">
      <c r="B51" s="55">
        <v>45</v>
      </c>
      <c r="C51" s="34"/>
      <c r="D51" s="34"/>
      <c r="E51" s="34"/>
      <c r="F51" s="34"/>
      <c r="G51" s="34"/>
      <c r="H51" s="34"/>
      <c r="I51" s="34"/>
      <c r="J51" s="34"/>
    </row>
    <row r="52" spans="2:10" x14ac:dyDescent="0.3">
      <c r="B52" s="67">
        <v>46</v>
      </c>
      <c r="C52" s="61"/>
      <c r="D52" s="61"/>
      <c r="E52" s="61"/>
      <c r="F52" s="61"/>
      <c r="G52" s="61"/>
      <c r="H52" s="61"/>
      <c r="I52" s="61"/>
      <c r="J52" s="61"/>
    </row>
    <row r="53" spans="2:10" x14ac:dyDescent="0.3">
      <c r="B53" s="55">
        <v>47</v>
      </c>
      <c r="C53" s="34"/>
      <c r="D53" s="34"/>
      <c r="E53" s="34"/>
      <c r="F53" s="34"/>
      <c r="G53" s="34"/>
      <c r="H53" s="34"/>
      <c r="I53" s="34"/>
      <c r="J53" s="34"/>
    </row>
    <row r="54" spans="2:10" x14ac:dyDescent="0.3">
      <c r="B54" s="67">
        <v>48</v>
      </c>
      <c r="C54" s="61"/>
      <c r="D54" s="61"/>
      <c r="E54" s="61"/>
      <c r="F54" s="61"/>
      <c r="G54" s="61"/>
      <c r="H54" s="61"/>
      <c r="I54" s="61"/>
      <c r="J54" s="61"/>
    </row>
    <row r="55" spans="2:10" x14ac:dyDescent="0.3">
      <c r="B55" s="55">
        <v>49</v>
      </c>
      <c r="C55" s="34"/>
      <c r="D55" s="34"/>
      <c r="E55" s="34"/>
      <c r="F55" s="34"/>
      <c r="G55" s="34"/>
      <c r="H55" s="34"/>
      <c r="I55" s="34"/>
      <c r="J55" s="34"/>
    </row>
    <row r="56" spans="2:10" x14ac:dyDescent="0.3">
      <c r="B56" s="67">
        <v>50</v>
      </c>
      <c r="C56" s="61"/>
      <c r="D56" s="61"/>
      <c r="E56" s="61"/>
      <c r="F56" s="61"/>
      <c r="G56" s="61"/>
      <c r="H56" s="61"/>
      <c r="I56" s="61"/>
      <c r="J56" s="61"/>
    </row>
    <row r="58" spans="2:10" x14ac:dyDescent="0.3">
      <c r="B58" s="1" t="s">
        <v>81</v>
      </c>
      <c r="C58" s="1"/>
      <c r="D58" s="1"/>
      <c r="E58" s="1"/>
      <c r="F58" s="1"/>
      <c r="G58" s="1"/>
      <c r="H58" s="1"/>
      <c r="I58" s="1"/>
    </row>
  </sheetData>
  <mergeCells count="4">
    <mergeCell ref="B1:I1"/>
    <mergeCell ref="B2:I2"/>
    <mergeCell ref="B5:I5"/>
    <mergeCell ref="B58:I58"/>
  </mergeCells>
  <dataValidations count="2">
    <dataValidation type="list" allowBlank="1" sqref="G7:G12" xr:uid="{00000000-0002-0000-0200-000000000000}">
      <formula1>"High,Medium,Low"</formula1>
      <formula2>0</formula2>
    </dataValidation>
    <dataValidation type="list" allowBlank="1" sqref="I7:I12" xr:uid="{00000000-0002-0000-0200-000001000000}">
      <formula1>"Not Started,In Progress,Completed,Paused,Cancelled"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8"/>
  <sheetViews>
    <sheetView showGridLines="0" zoomScaleNormal="100" workbookViewId="0">
      <selection activeCell="H7" sqref="H7"/>
    </sheetView>
  </sheetViews>
  <sheetFormatPr defaultColWidth="8.6640625" defaultRowHeight="14.4" x14ac:dyDescent="0.3"/>
  <cols>
    <col min="1" max="1" width="2" customWidth="1"/>
    <col min="2" max="2" width="4" customWidth="1"/>
    <col min="3" max="3" width="28" customWidth="1"/>
    <col min="4" max="4" width="20" customWidth="1"/>
    <col min="5" max="8" width="15" customWidth="1"/>
    <col min="9" max="9" width="20" customWidth="1"/>
    <col min="10" max="10" width="2" customWidth="1"/>
  </cols>
  <sheetData>
    <row r="1" spans="2:10" ht="60" customHeight="1" x14ac:dyDescent="0.3">
      <c r="B1" s="93" t="s">
        <v>95</v>
      </c>
      <c r="C1" s="93"/>
      <c r="D1" s="93"/>
      <c r="E1" s="93"/>
      <c r="F1" s="93"/>
      <c r="G1" s="93"/>
      <c r="H1" s="93"/>
      <c r="I1" s="93"/>
    </row>
    <row r="2" spans="2:10" ht="27.75" customHeight="1" x14ac:dyDescent="0.3">
      <c r="B2" s="94" t="s">
        <v>60</v>
      </c>
      <c r="C2" s="94"/>
      <c r="D2" s="94"/>
      <c r="E2" s="94"/>
      <c r="F2" s="94"/>
      <c r="G2" s="94"/>
      <c r="H2" s="94"/>
      <c r="I2" s="94"/>
    </row>
    <row r="3" spans="2:10" ht="21.75" customHeight="1" x14ac:dyDescent="0.3">
      <c r="C3" s="17" t="s">
        <v>61</v>
      </c>
      <c r="D3" s="18" t="s">
        <v>62</v>
      </c>
      <c r="E3" s="15" t="s">
        <v>22</v>
      </c>
      <c r="F3" s="19" t="s">
        <v>63</v>
      </c>
    </row>
    <row r="4" spans="2:10" ht="37.5" customHeight="1" x14ac:dyDescent="0.3">
      <c r="C4" s="68">
        <f>COUNTA(C5:C54)</f>
        <v>8</v>
      </c>
      <c r="D4" s="44">
        <f>COUNTIF(H5:H54,"Completed")</f>
        <v>0</v>
      </c>
      <c r="E4" s="43">
        <f>COUNTIF(H5:H54,"In Progress")</f>
        <v>0</v>
      </c>
      <c r="F4" s="45">
        <f>IFERROR(COUNTIF(H5:H54,"Completed")/COUNTA(H5:H54),0)</f>
        <v>0</v>
      </c>
    </row>
    <row r="5" spans="2:10" ht="21.75" customHeight="1" x14ac:dyDescent="0.3">
      <c r="B5" s="95" t="s">
        <v>96</v>
      </c>
      <c r="C5" s="95"/>
      <c r="D5" s="95"/>
      <c r="E5" s="95"/>
      <c r="F5" s="95"/>
      <c r="G5" s="95"/>
      <c r="H5" s="95"/>
      <c r="I5" s="95"/>
    </row>
    <row r="6" spans="2:10" ht="27.75" customHeight="1" x14ac:dyDescent="0.3">
      <c r="B6" s="25" t="s">
        <v>10</v>
      </c>
      <c r="C6" s="25" t="s">
        <v>65</v>
      </c>
      <c r="D6" s="25" t="s">
        <v>12</v>
      </c>
      <c r="E6" s="25" t="s">
        <v>14</v>
      </c>
      <c r="F6" s="25" t="s">
        <v>15</v>
      </c>
      <c r="G6" s="25" t="s">
        <v>66</v>
      </c>
      <c r="H6" s="25" t="s">
        <v>17</v>
      </c>
      <c r="I6" s="25" t="s">
        <v>16</v>
      </c>
      <c r="J6" s="25" t="s">
        <v>67</v>
      </c>
    </row>
    <row r="7" spans="2:10" ht="21.75" customHeight="1" x14ac:dyDescent="0.3">
      <c r="B7" s="33">
        <v>1</v>
      </c>
      <c r="C7" s="34" t="s">
        <v>18</v>
      </c>
      <c r="D7" s="35" t="s">
        <v>19</v>
      </c>
      <c r="E7" s="37" t="s">
        <v>21</v>
      </c>
      <c r="F7" s="47">
        <v>0.35</v>
      </c>
      <c r="G7" s="35" t="s">
        <v>97</v>
      </c>
      <c r="H7" s="32" t="s">
        <v>23</v>
      </c>
      <c r="I7" s="31" t="s">
        <v>22</v>
      </c>
      <c r="J7" s="48"/>
    </row>
    <row r="8" spans="2:10" ht="21.75" customHeight="1" x14ac:dyDescent="0.3">
      <c r="B8" s="69">
        <v>2</v>
      </c>
      <c r="C8" s="70" t="s">
        <v>24</v>
      </c>
      <c r="D8" s="71" t="s">
        <v>25</v>
      </c>
      <c r="E8" s="72" t="s">
        <v>26</v>
      </c>
      <c r="F8" s="73">
        <v>0.33</v>
      </c>
      <c r="G8" s="71" t="s">
        <v>98</v>
      </c>
      <c r="H8" s="32" t="s">
        <v>23</v>
      </c>
      <c r="I8" s="31" t="s">
        <v>22</v>
      </c>
      <c r="J8" s="74"/>
    </row>
    <row r="9" spans="2:10" ht="21.75" customHeight="1" x14ac:dyDescent="0.3">
      <c r="B9" s="33">
        <v>3</v>
      </c>
      <c r="C9" s="34" t="s">
        <v>99</v>
      </c>
      <c r="D9" s="35" t="s">
        <v>42</v>
      </c>
      <c r="E9" s="37" t="s">
        <v>21</v>
      </c>
      <c r="F9" s="47">
        <v>0.75</v>
      </c>
      <c r="G9" s="35" t="s">
        <v>100</v>
      </c>
      <c r="H9" s="38" t="s">
        <v>30</v>
      </c>
      <c r="I9" s="31" t="s">
        <v>22</v>
      </c>
      <c r="J9" s="48"/>
    </row>
    <row r="10" spans="2:10" ht="21.75" customHeight="1" x14ac:dyDescent="0.3">
      <c r="B10" s="69">
        <v>4</v>
      </c>
      <c r="C10" s="70" t="s">
        <v>27</v>
      </c>
      <c r="D10" s="71" t="s">
        <v>28</v>
      </c>
      <c r="E10" s="72" t="s">
        <v>29</v>
      </c>
      <c r="F10" s="73">
        <v>0.6</v>
      </c>
      <c r="G10" s="71" t="s">
        <v>101</v>
      </c>
      <c r="H10" s="38" t="s">
        <v>30</v>
      </c>
      <c r="I10" s="31" t="s">
        <v>22</v>
      </c>
      <c r="J10" s="74"/>
    </row>
    <row r="11" spans="2:10" ht="21.75" customHeight="1" x14ac:dyDescent="0.3">
      <c r="B11" s="33">
        <v>5</v>
      </c>
      <c r="C11" s="34" t="s">
        <v>102</v>
      </c>
      <c r="D11" s="35" t="s">
        <v>19</v>
      </c>
      <c r="E11" s="37" t="s">
        <v>47</v>
      </c>
      <c r="F11" s="47">
        <v>0.3</v>
      </c>
      <c r="G11" s="35" t="s">
        <v>103</v>
      </c>
      <c r="H11" s="32" t="s">
        <v>23</v>
      </c>
      <c r="I11" s="31" t="s">
        <v>22</v>
      </c>
      <c r="J11" s="48"/>
    </row>
    <row r="12" spans="2:10" ht="21.75" customHeight="1" x14ac:dyDescent="0.3">
      <c r="B12" s="69">
        <v>6</v>
      </c>
      <c r="C12" s="70" t="s">
        <v>104</v>
      </c>
      <c r="D12" s="71" t="s">
        <v>42</v>
      </c>
      <c r="E12" s="72" t="s">
        <v>21</v>
      </c>
      <c r="F12" s="73">
        <v>0</v>
      </c>
      <c r="G12" s="71" t="s">
        <v>105</v>
      </c>
      <c r="H12" s="38" t="s">
        <v>30</v>
      </c>
      <c r="I12" s="66" t="s">
        <v>94</v>
      </c>
      <c r="J12" s="74"/>
    </row>
    <row r="13" spans="2:10" ht="21.75" customHeight="1" x14ac:dyDescent="0.3">
      <c r="B13" s="33">
        <v>7</v>
      </c>
      <c r="C13" s="34" t="s">
        <v>106</v>
      </c>
      <c r="D13" s="35" t="s">
        <v>107</v>
      </c>
      <c r="E13" s="37" t="s">
        <v>47</v>
      </c>
      <c r="F13" s="47">
        <v>0.6</v>
      </c>
      <c r="G13" s="35" t="s">
        <v>108</v>
      </c>
      <c r="H13" s="39" t="s">
        <v>45</v>
      </c>
      <c r="I13" s="31" t="s">
        <v>22</v>
      </c>
      <c r="J13" s="48"/>
    </row>
    <row r="14" spans="2:10" ht="19.5" customHeight="1" x14ac:dyDescent="0.3">
      <c r="B14" s="75">
        <v>8</v>
      </c>
      <c r="C14" s="70"/>
      <c r="D14" s="70"/>
      <c r="E14" s="70"/>
      <c r="F14" s="70"/>
      <c r="G14" s="70"/>
      <c r="H14" s="70"/>
      <c r="I14" s="70"/>
      <c r="J14" s="70"/>
    </row>
    <row r="15" spans="2:10" ht="19.5" customHeight="1" x14ac:dyDescent="0.3">
      <c r="B15" s="55">
        <v>9</v>
      </c>
      <c r="C15" s="34"/>
      <c r="D15" s="34"/>
      <c r="E15" s="34"/>
      <c r="F15" s="34"/>
      <c r="G15" s="34"/>
      <c r="H15" s="34"/>
      <c r="I15" s="34"/>
      <c r="J15" s="34"/>
    </row>
    <row r="16" spans="2:10" ht="19.5" customHeight="1" x14ac:dyDescent="0.3">
      <c r="B16" s="75">
        <v>10</v>
      </c>
      <c r="C16" s="70"/>
      <c r="D16" s="70"/>
      <c r="E16" s="70"/>
      <c r="F16" s="70"/>
      <c r="G16" s="70"/>
      <c r="H16" s="70"/>
      <c r="I16" s="70"/>
      <c r="J16" s="70"/>
    </row>
    <row r="17" spans="2:10" ht="19.5" customHeight="1" x14ac:dyDescent="0.3">
      <c r="B17" s="55">
        <v>11</v>
      </c>
      <c r="C17" s="34"/>
      <c r="D17" s="34"/>
      <c r="E17" s="34"/>
      <c r="F17" s="34"/>
      <c r="G17" s="34"/>
      <c r="H17" s="34"/>
      <c r="I17" s="34"/>
      <c r="J17" s="34"/>
    </row>
    <row r="18" spans="2:10" ht="19.5" customHeight="1" x14ac:dyDescent="0.3">
      <c r="B18" s="75">
        <v>12</v>
      </c>
      <c r="C18" s="70"/>
      <c r="D18" s="70"/>
      <c r="E18" s="70"/>
      <c r="F18" s="70"/>
      <c r="G18" s="70"/>
      <c r="H18" s="70"/>
      <c r="I18" s="70"/>
      <c r="J18" s="70"/>
    </row>
    <row r="19" spans="2:10" ht="19.5" customHeight="1" x14ac:dyDescent="0.3">
      <c r="B19" s="55">
        <v>13</v>
      </c>
      <c r="C19" s="34"/>
      <c r="D19" s="34"/>
      <c r="E19" s="34"/>
      <c r="F19" s="34"/>
      <c r="G19" s="34"/>
      <c r="H19" s="34"/>
      <c r="I19" s="34"/>
      <c r="J19" s="34"/>
    </row>
    <row r="20" spans="2:10" ht="19.5" customHeight="1" x14ac:dyDescent="0.3">
      <c r="B20" s="75">
        <v>14</v>
      </c>
      <c r="C20" s="70"/>
      <c r="D20" s="70"/>
      <c r="E20" s="70"/>
      <c r="F20" s="70"/>
      <c r="G20" s="70"/>
      <c r="H20" s="70"/>
      <c r="I20" s="70"/>
      <c r="J20" s="70"/>
    </row>
    <row r="21" spans="2:10" ht="19.5" customHeight="1" x14ac:dyDescent="0.3">
      <c r="B21" s="55">
        <v>15</v>
      </c>
      <c r="C21" s="34"/>
      <c r="D21" s="34"/>
      <c r="E21" s="34"/>
      <c r="F21" s="34"/>
      <c r="G21" s="34"/>
      <c r="H21" s="34"/>
      <c r="I21" s="34"/>
      <c r="J21" s="34"/>
    </row>
    <row r="22" spans="2:10" ht="19.5" customHeight="1" x14ac:dyDescent="0.3">
      <c r="B22" s="75">
        <v>16</v>
      </c>
      <c r="C22" s="70"/>
      <c r="D22" s="70"/>
      <c r="E22" s="70"/>
      <c r="F22" s="70"/>
      <c r="G22" s="70"/>
      <c r="H22" s="70"/>
      <c r="I22" s="70"/>
      <c r="J22" s="70"/>
    </row>
    <row r="23" spans="2:10" ht="19.5" customHeight="1" x14ac:dyDescent="0.3">
      <c r="B23" s="55">
        <v>17</v>
      </c>
      <c r="C23" s="34"/>
      <c r="D23" s="34"/>
      <c r="E23" s="34"/>
      <c r="F23" s="34"/>
      <c r="G23" s="34"/>
      <c r="H23" s="34"/>
      <c r="I23" s="34"/>
      <c r="J23" s="34"/>
    </row>
    <row r="24" spans="2:10" ht="19.5" customHeight="1" x14ac:dyDescent="0.3">
      <c r="B24" s="75">
        <v>18</v>
      </c>
      <c r="C24" s="70"/>
      <c r="D24" s="70"/>
      <c r="E24" s="70"/>
      <c r="F24" s="70"/>
      <c r="G24" s="70"/>
      <c r="H24" s="70"/>
      <c r="I24" s="70"/>
      <c r="J24" s="70"/>
    </row>
    <row r="25" spans="2:10" ht="19.5" customHeight="1" x14ac:dyDescent="0.3">
      <c r="B25" s="55">
        <v>19</v>
      </c>
      <c r="C25" s="34"/>
      <c r="D25" s="34"/>
      <c r="E25" s="34"/>
      <c r="F25" s="34"/>
      <c r="G25" s="34"/>
      <c r="H25" s="34"/>
      <c r="I25" s="34"/>
      <c r="J25" s="34"/>
    </row>
    <row r="26" spans="2:10" ht="19.5" customHeight="1" x14ac:dyDescent="0.3">
      <c r="B26" s="75">
        <v>20</v>
      </c>
      <c r="C26" s="70"/>
      <c r="D26" s="70"/>
      <c r="E26" s="70"/>
      <c r="F26" s="70"/>
      <c r="G26" s="70"/>
      <c r="H26" s="70"/>
      <c r="I26" s="70"/>
      <c r="J26" s="70"/>
    </row>
    <row r="27" spans="2:10" ht="19.5" customHeight="1" x14ac:dyDescent="0.3">
      <c r="B27" s="55">
        <v>21</v>
      </c>
      <c r="C27" s="34"/>
      <c r="D27" s="34"/>
      <c r="E27" s="34"/>
      <c r="F27" s="34"/>
      <c r="G27" s="34"/>
      <c r="H27" s="34"/>
      <c r="I27" s="34"/>
      <c r="J27" s="34"/>
    </row>
    <row r="28" spans="2:10" ht="19.5" customHeight="1" x14ac:dyDescent="0.3">
      <c r="B28" s="75">
        <v>22</v>
      </c>
      <c r="C28" s="70"/>
      <c r="D28" s="70"/>
      <c r="E28" s="70"/>
      <c r="F28" s="70"/>
      <c r="G28" s="70"/>
      <c r="H28" s="70"/>
      <c r="I28" s="70"/>
      <c r="J28" s="70"/>
    </row>
    <row r="29" spans="2:10" ht="19.5" customHeight="1" x14ac:dyDescent="0.3">
      <c r="B29" s="55">
        <v>23</v>
      </c>
      <c r="C29" s="34"/>
      <c r="D29" s="34"/>
      <c r="E29" s="34"/>
      <c r="F29" s="34"/>
      <c r="G29" s="34"/>
      <c r="H29" s="34"/>
      <c r="I29" s="34"/>
      <c r="J29" s="34"/>
    </row>
    <row r="30" spans="2:10" ht="19.5" customHeight="1" x14ac:dyDescent="0.3">
      <c r="B30" s="75">
        <v>24</v>
      </c>
      <c r="C30" s="70"/>
      <c r="D30" s="70"/>
      <c r="E30" s="70"/>
      <c r="F30" s="70"/>
      <c r="G30" s="70"/>
      <c r="H30" s="70"/>
      <c r="I30" s="70"/>
      <c r="J30" s="70"/>
    </row>
    <row r="31" spans="2:10" ht="19.5" customHeight="1" x14ac:dyDescent="0.3">
      <c r="B31" s="55">
        <v>25</v>
      </c>
      <c r="C31" s="34"/>
      <c r="D31" s="34"/>
      <c r="E31" s="34"/>
      <c r="F31" s="34"/>
      <c r="G31" s="34"/>
      <c r="H31" s="34"/>
      <c r="I31" s="34"/>
      <c r="J31" s="34"/>
    </row>
    <row r="32" spans="2:10" ht="19.5" customHeight="1" x14ac:dyDescent="0.3">
      <c r="B32" s="75">
        <v>26</v>
      </c>
      <c r="C32" s="70"/>
      <c r="D32" s="70"/>
      <c r="E32" s="70"/>
      <c r="F32" s="70"/>
      <c r="G32" s="70"/>
      <c r="H32" s="70"/>
      <c r="I32" s="70"/>
      <c r="J32" s="70"/>
    </row>
    <row r="33" spans="2:10" ht="19.5" customHeight="1" x14ac:dyDescent="0.3">
      <c r="B33" s="55">
        <v>27</v>
      </c>
      <c r="C33" s="34"/>
      <c r="D33" s="34"/>
      <c r="E33" s="34"/>
      <c r="F33" s="34"/>
      <c r="G33" s="34"/>
      <c r="H33" s="34"/>
      <c r="I33" s="34"/>
      <c r="J33" s="34"/>
    </row>
    <row r="34" spans="2:10" ht="19.5" customHeight="1" x14ac:dyDescent="0.3">
      <c r="B34" s="75">
        <v>28</v>
      </c>
      <c r="C34" s="70"/>
      <c r="D34" s="70"/>
      <c r="E34" s="70"/>
      <c r="F34" s="70"/>
      <c r="G34" s="70"/>
      <c r="H34" s="70"/>
      <c r="I34" s="70"/>
      <c r="J34" s="70"/>
    </row>
    <row r="35" spans="2:10" ht="19.5" customHeight="1" x14ac:dyDescent="0.3">
      <c r="B35" s="55">
        <v>29</v>
      </c>
      <c r="C35" s="34"/>
      <c r="D35" s="34"/>
      <c r="E35" s="34"/>
      <c r="F35" s="34"/>
      <c r="G35" s="34"/>
      <c r="H35" s="34"/>
      <c r="I35" s="34"/>
      <c r="J35" s="34"/>
    </row>
    <row r="36" spans="2:10" ht="19.5" customHeight="1" x14ac:dyDescent="0.3">
      <c r="B36" s="75">
        <v>30</v>
      </c>
      <c r="C36" s="70"/>
      <c r="D36" s="70"/>
      <c r="E36" s="70"/>
      <c r="F36" s="70"/>
      <c r="G36" s="70"/>
      <c r="H36" s="70"/>
      <c r="I36" s="70"/>
      <c r="J36" s="70"/>
    </row>
    <row r="37" spans="2:10" ht="19.5" customHeight="1" x14ac:dyDescent="0.3">
      <c r="B37" s="55">
        <v>31</v>
      </c>
      <c r="C37" s="34"/>
      <c r="D37" s="34"/>
      <c r="E37" s="34"/>
      <c r="F37" s="34"/>
      <c r="G37" s="34"/>
      <c r="H37" s="34"/>
      <c r="I37" s="34"/>
      <c r="J37" s="34"/>
    </row>
    <row r="38" spans="2:10" ht="19.5" customHeight="1" x14ac:dyDescent="0.3">
      <c r="B38" s="75">
        <v>32</v>
      </c>
      <c r="C38" s="70"/>
      <c r="D38" s="70"/>
      <c r="E38" s="70"/>
      <c r="F38" s="70"/>
      <c r="G38" s="70"/>
      <c r="H38" s="70"/>
      <c r="I38" s="70"/>
      <c r="J38" s="70"/>
    </row>
    <row r="39" spans="2:10" ht="19.5" customHeight="1" x14ac:dyDescent="0.3">
      <c r="B39" s="55">
        <v>33</v>
      </c>
      <c r="C39" s="34"/>
      <c r="D39" s="34"/>
      <c r="E39" s="34"/>
      <c r="F39" s="34"/>
      <c r="G39" s="34"/>
      <c r="H39" s="34"/>
      <c r="I39" s="34"/>
      <c r="J39" s="34"/>
    </row>
    <row r="40" spans="2:10" ht="19.5" customHeight="1" x14ac:dyDescent="0.3">
      <c r="B40" s="75">
        <v>34</v>
      </c>
      <c r="C40" s="70"/>
      <c r="D40" s="70"/>
      <c r="E40" s="70"/>
      <c r="F40" s="70"/>
      <c r="G40" s="70"/>
      <c r="H40" s="70"/>
      <c r="I40" s="70"/>
      <c r="J40" s="70"/>
    </row>
    <row r="41" spans="2:10" ht="19.5" customHeight="1" x14ac:dyDescent="0.3">
      <c r="B41" s="55">
        <v>35</v>
      </c>
      <c r="C41" s="34"/>
      <c r="D41" s="34"/>
      <c r="E41" s="34"/>
      <c r="F41" s="34"/>
      <c r="G41" s="34"/>
      <c r="H41" s="34"/>
      <c r="I41" s="34"/>
      <c r="J41" s="34"/>
    </row>
    <row r="42" spans="2:10" ht="19.5" customHeight="1" x14ac:dyDescent="0.3">
      <c r="B42" s="75">
        <v>36</v>
      </c>
      <c r="C42" s="70"/>
      <c r="D42" s="70"/>
      <c r="E42" s="70"/>
      <c r="F42" s="70"/>
      <c r="G42" s="70"/>
      <c r="H42" s="70"/>
      <c r="I42" s="70"/>
      <c r="J42" s="70"/>
    </row>
    <row r="43" spans="2:10" ht="19.5" customHeight="1" x14ac:dyDescent="0.3">
      <c r="B43" s="55">
        <v>37</v>
      </c>
      <c r="C43" s="34"/>
      <c r="D43" s="34"/>
      <c r="E43" s="34"/>
      <c r="F43" s="34"/>
      <c r="G43" s="34"/>
      <c r="H43" s="34"/>
      <c r="I43" s="34"/>
      <c r="J43" s="34"/>
    </row>
    <row r="44" spans="2:10" ht="19.5" customHeight="1" x14ac:dyDescent="0.3">
      <c r="B44" s="75">
        <v>38</v>
      </c>
      <c r="C44" s="70"/>
      <c r="D44" s="70"/>
      <c r="E44" s="70"/>
      <c r="F44" s="70"/>
      <c r="G44" s="70"/>
      <c r="H44" s="70"/>
      <c r="I44" s="70"/>
      <c r="J44" s="70"/>
    </row>
    <row r="45" spans="2:10" ht="19.5" customHeight="1" x14ac:dyDescent="0.3">
      <c r="B45" s="55">
        <v>39</v>
      </c>
      <c r="C45" s="34"/>
      <c r="D45" s="34"/>
      <c r="E45" s="34"/>
      <c r="F45" s="34"/>
      <c r="G45" s="34"/>
      <c r="H45" s="34"/>
      <c r="I45" s="34"/>
      <c r="J45" s="34"/>
    </row>
    <row r="46" spans="2:10" ht="19.5" customHeight="1" x14ac:dyDescent="0.3">
      <c r="B46" s="75">
        <v>40</v>
      </c>
      <c r="C46" s="70"/>
      <c r="D46" s="70"/>
      <c r="E46" s="70"/>
      <c r="F46" s="70"/>
      <c r="G46" s="70"/>
      <c r="H46" s="70"/>
      <c r="I46" s="70"/>
      <c r="J46" s="70"/>
    </row>
    <row r="47" spans="2:10" ht="19.5" customHeight="1" x14ac:dyDescent="0.3">
      <c r="B47" s="55">
        <v>41</v>
      </c>
      <c r="C47" s="34"/>
      <c r="D47" s="34"/>
      <c r="E47" s="34"/>
      <c r="F47" s="34"/>
      <c r="G47" s="34"/>
      <c r="H47" s="34"/>
      <c r="I47" s="34"/>
      <c r="J47" s="34"/>
    </row>
    <row r="48" spans="2:10" ht="19.5" customHeight="1" x14ac:dyDescent="0.3">
      <c r="B48" s="75">
        <v>42</v>
      </c>
      <c r="C48" s="70"/>
      <c r="D48" s="70"/>
      <c r="E48" s="70"/>
      <c r="F48" s="70"/>
      <c r="G48" s="70"/>
      <c r="H48" s="70"/>
      <c r="I48" s="70"/>
      <c r="J48" s="70"/>
    </row>
    <row r="49" spans="2:10" ht="19.5" customHeight="1" x14ac:dyDescent="0.3">
      <c r="B49" s="55">
        <v>43</v>
      </c>
      <c r="C49" s="34"/>
      <c r="D49" s="34"/>
      <c r="E49" s="34"/>
      <c r="F49" s="34"/>
      <c r="G49" s="34"/>
      <c r="H49" s="34"/>
      <c r="I49" s="34"/>
      <c r="J49" s="34"/>
    </row>
    <row r="50" spans="2:10" ht="19.5" customHeight="1" x14ac:dyDescent="0.3">
      <c r="B50" s="75">
        <v>44</v>
      </c>
      <c r="C50" s="70"/>
      <c r="D50" s="70"/>
      <c r="E50" s="70"/>
      <c r="F50" s="70"/>
      <c r="G50" s="70"/>
      <c r="H50" s="70"/>
      <c r="I50" s="70"/>
      <c r="J50" s="70"/>
    </row>
    <row r="51" spans="2:10" ht="19.5" customHeight="1" x14ac:dyDescent="0.3">
      <c r="B51" s="55">
        <v>45</v>
      </c>
      <c r="C51" s="34"/>
      <c r="D51" s="34"/>
      <c r="E51" s="34"/>
      <c r="F51" s="34"/>
      <c r="G51" s="34"/>
      <c r="H51" s="34"/>
      <c r="I51" s="34"/>
      <c r="J51" s="34"/>
    </row>
    <row r="52" spans="2:10" ht="19.5" customHeight="1" x14ac:dyDescent="0.3">
      <c r="B52" s="75">
        <v>46</v>
      </c>
      <c r="C52" s="70"/>
      <c r="D52" s="70"/>
      <c r="E52" s="70"/>
      <c r="F52" s="70"/>
      <c r="G52" s="70"/>
      <c r="H52" s="70"/>
      <c r="I52" s="70"/>
      <c r="J52" s="70"/>
    </row>
    <row r="53" spans="2:10" ht="19.5" customHeight="1" x14ac:dyDescent="0.3">
      <c r="B53" s="55">
        <v>47</v>
      </c>
      <c r="C53" s="34"/>
      <c r="D53" s="34"/>
      <c r="E53" s="34"/>
      <c r="F53" s="34"/>
      <c r="G53" s="34"/>
      <c r="H53" s="34"/>
      <c r="I53" s="34"/>
      <c r="J53" s="34"/>
    </row>
    <row r="54" spans="2:10" ht="19.5" customHeight="1" x14ac:dyDescent="0.3">
      <c r="B54" s="75">
        <v>48</v>
      </c>
      <c r="C54" s="70"/>
      <c r="D54" s="70"/>
      <c r="E54" s="70"/>
      <c r="F54" s="70"/>
      <c r="G54" s="70"/>
      <c r="H54" s="70"/>
      <c r="I54" s="70"/>
      <c r="J54" s="70"/>
    </row>
    <row r="55" spans="2:10" ht="19.5" customHeight="1" x14ac:dyDescent="0.3">
      <c r="B55" s="55">
        <v>49</v>
      </c>
      <c r="C55" s="34"/>
      <c r="D55" s="34"/>
      <c r="E55" s="34"/>
      <c r="F55" s="34"/>
      <c r="G55" s="34"/>
      <c r="H55" s="34"/>
      <c r="I55" s="34"/>
      <c r="J55" s="34"/>
    </row>
    <row r="56" spans="2:10" ht="19.5" customHeight="1" x14ac:dyDescent="0.3">
      <c r="B56" s="75">
        <v>50</v>
      </c>
      <c r="C56" s="70"/>
      <c r="D56" s="70"/>
      <c r="E56" s="70"/>
      <c r="F56" s="70"/>
      <c r="G56" s="70"/>
      <c r="H56" s="70"/>
      <c r="I56" s="70"/>
      <c r="J56" s="70"/>
    </row>
    <row r="58" spans="2:10" ht="19.5" customHeight="1" x14ac:dyDescent="0.3">
      <c r="B58" s="96" t="s">
        <v>81</v>
      </c>
      <c r="C58" s="96"/>
      <c r="D58" s="96"/>
      <c r="E58" s="96"/>
      <c r="F58" s="96"/>
      <c r="G58" s="96"/>
      <c r="H58" s="96"/>
      <c r="I58" s="96"/>
    </row>
  </sheetData>
  <mergeCells count="4">
    <mergeCell ref="B1:I1"/>
    <mergeCell ref="B2:I2"/>
    <mergeCell ref="B5:I5"/>
    <mergeCell ref="B58:I58"/>
  </mergeCells>
  <dataValidations count="2">
    <dataValidation type="list" allowBlank="1" sqref="G7:G13" xr:uid="{00000000-0002-0000-0300-000000000000}">
      <formula1>"High,Medium,Low"</formula1>
      <formula2>0</formula2>
    </dataValidation>
    <dataValidation type="list" allowBlank="1" sqref="I7:I13" xr:uid="{00000000-0002-0000-0300-000001000000}">
      <formula1>"Not Started,In Progress,Completed,Paused,Cancelled"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2"/>
  <sheetViews>
    <sheetView showGridLines="0" zoomScaleNormal="100" workbookViewId="0">
      <selection activeCell="I9" sqref="I9"/>
    </sheetView>
  </sheetViews>
  <sheetFormatPr defaultColWidth="8.6640625" defaultRowHeight="14.4" x14ac:dyDescent="0.3"/>
  <cols>
    <col min="1" max="1" width="2" customWidth="1"/>
    <col min="2" max="2" width="5" customWidth="1"/>
    <col min="3" max="3" width="30" customWidth="1"/>
    <col min="4" max="6" width="15" customWidth="1"/>
    <col min="7" max="7" width="20" customWidth="1"/>
    <col min="8" max="8" width="21.6640625" bestFit="1" customWidth="1"/>
    <col min="9" max="9" width="2" customWidth="1"/>
  </cols>
  <sheetData>
    <row r="1" spans="2:8" ht="24.6" x14ac:dyDescent="0.3">
      <c r="B1" s="97" t="s">
        <v>109</v>
      </c>
      <c r="C1" s="97"/>
      <c r="D1" s="97"/>
      <c r="E1" s="97"/>
      <c r="F1" s="97"/>
      <c r="G1" s="97"/>
      <c r="H1" s="97"/>
    </row>
    <row r="2" spans="2:8" x14ac:dyDescent="0.3">
      <c r="B2" s="98" t="s">
        <v>110</v>
      </c>
      <c r="C2" s="98"/>
      <c r="D2" s="98"/>
      <c r="E2" s="98"/>
      <c r="F2" s="98"/>
      <c r="G2" s="98"/>
      <c r="H2" s="98"/>
    </row>
    <row r="3" spans="2:8" x14ac:dyDescent="0.3">
      <c r="C3" s="18" t="s">
        <v>111</v>
      </c>
      <c r="D3" s="15" t="s">
        <v>112</v>
      </c>
      <c r="E3" s="57" t="s">
        <v>113</v>
      </c>
      <c r="F3" s="17" t="s">
        <v>114</v>
      </c>
    </row>
    <row r="4" spans="2:8" ht="24.6" x14ac:dyDescent="0.3">
      <c r="C4" s="76">
        <f>COUNTIF(D7:D200,"Achieved")</f>
        <v>0</v>
      </c>
      <c r="D4" s="77">
        <f>COUNTIFS(C7:C200,"Him",D7:D200,"Achieved")</f>
        <v>0</v>
      </c>
      <c r="E4" s="78">
        <f>COUNTIFS(C7:C200,"Her",D7:D200,"Achieved")</f>
        <v>0</v>
      </c>
      <c r="F4" s="79">
        <f>COUNTIFS(C7:C200,"Couple",D7:D200,"Achieved")</f>
        <v>0</v>
      </c>
    </row>
    <row r="5" spans="2:8" x14ac:dyDescent="0.3">
      <c r="B5" s="99" t="s">
        <v>115</v>
      </c>
      <c r="C5" s="99"/>
      <c r="D5" s="99"/>
      <c r="E5" s="99"/>
      <c r="F5" s="99"/>
      <c r="G5" s="99"/>
      <c r="H5" s="99"/>
    </row>
    <row r="6" spans="2:8" x14ac:dyDescent="0.3">
      <c r="B6" s="80" t="s">
        <v>10</v>
      </c>
      <c r="C6" s="80" t="s">
        <v>116</v>
      </c>
      <c r="D6" s="80" t="s">
        <v>13</v>
      </c>
      <c r="E6" s="80" t="s">
        <v>16</v>
      </c>
      <c r="F6" s="80" t="s">
        <v>12</v>
      </c>
      <c r="G6" s="80" t="s">
        <v>117</v>
      </c>
      <c r="H6" s="80" t="s">
        <v>118</v>
      </c>
    </row>
    <row r="7" spans="2:8" x14ac:dyDescent="0.3">
      <c r="B7" s="33">
        <v>1</v>
      </c>
      <c r="C7" s="42" t="s">
        <v>119</v>
      </c>
      <c r="D7" s="35" t="s">
        <v>32</v>
      </c>
      <c r="E7" s="39" t="s">
        <v>120</v>
      </c>
      <c r="F7" s="35" t="s">
        <v>19</v>
      </c>
      <c r="G7" s="35" t="s">
        <v>121</v>
      </c>
      <c r="H7" s="48" t="s">
        <v>122</v>
      </c>
    </row>
    <row r="8" spans="2:8" x14ac:dyDescent="0.3">
      <c r="B8" s="81">
        <v>2</v>
      </c>
      <c r="C8" s="82" t="s">
        <v>123</v>
      </c>
      <c r="D8" s="83" t="s">
        <v>38</v>
      </c>
      <c r="E8" s="39" t="s">
        <v>120</v>
      </c>
      <c r="F8" s="83" t="s">
        <v>28</v>
      </c>
      <c r="G8" s="83" t="s">
        <v>124</v>
      </c>
      <c r="H8" s="84" t="s">
        <v>125</v>
      </c>
    </row>
    <row r="9" spans="2:8" x14ac:dyDescent="0.3">
      <c r="B9" s="33">
        <v>3</v>
      </c>
      <c r="C9" s="42" t="s">
        <v>126</v>
      </c>
      <c r="D9" s="35" t="s">
        <v>20</v>
      </c>
      <c r="E9" s="39" t="s">
        <v>120</v>
      </c>
      <c r="F9" s="35" t="s">
        <v>25</v>
      </c>
      <c r="G9" s="35" t="s">
        <v>127</v>
      </c>
      <c r="H9" s="48" t="s">
        <v>128</v>
      </c>
    </row>
    <row r="10" spans="2:8" x14ac:dyDescent="0.3">
      <c r="B10" s="81">
        <v>4</v>
      </c>
      <c r="C10" s="82" t="s">
        <v>129</v>
      </c>
      <c r="D10" s="83" t="s">
        <v>38</v>
      </c>
      <c r="E10" s="39" t="s">
        <v>120</v>
      </c>
      <c r="F10" s="83" t="s">
        <v>37</v>
      </c>
      <c r="G10" s="83" t="s">
        <v>130</v>
      </c>
      <c r="H10" s="84" t="s">
        <v>131</v>
      </c>
    </row>
    <row r="11" spans="2:8" x14ac:dyDescent="0.3">
      <c r="B11" s="34"/>
      <c r="C11" s="34"/>
      <c r="D11" s="34"/>
      <c r="E11" s="34"/>
      <c r="F11" s="34"/>
      <c r="G11" s="34"/>
      <c r="H11" s="34"/>
    </row>
    <row r="12" spans="2:8" x14ac:dyDescent="0.3">
      <c r="B12" s="85"/>
      <c r="C12" s="85"/>
      <c r="D12" s="85"/>
      <c r="E12" s="85"/>
      <c r="F12" s="85"/>
      <c r="G12" s="85"/>
      <c r="H12" s="85"/>
    </row>
    <row r="13" spans="2:8" x14ac:dyDescent="0.3">
      <c r="B13" s="34"/>
      <c r="C13" s="34"/>
      <c r="D13" s="34"/>
      <c r="E13" s="34"/>
      <c r="F13" s="34"/>
      <c r="G13" s="34"/>
      <c r="H13" s="34"/>
    </row>
    <row r="14" spans="2:8" x14ac:dyDescent="0.3">
      <c r="B14" s="85"/>
      <c r="C14" s="85"/>
      <c r="D14" s="85"/>
      <c r="E14" s="85"/>
      <c r="F14" s="85"/>
      <c r="G14" s="85"/>
      <c r="H14" s="85"/>
    </row>
    <row r="15" spans="2:8" x14ac:dyDescent="0.3">
      <c r="B15" s="34"/>
      <c r="C15" s="34"/>
      <c r="D15" s="34"/>
      <c r="E15" s="34"/>
      <c r="F15" s="34"/>
      <c r="G15" s="34"/>
      <c r="H15" s="34"/>
    </row>
    <row r="16" spans="2:8" x14ac:dyDescent="0.3">
      <c r="B16" s="85"/>
      <c r="C16" s="85"/>
      <c r="D16" s="85"/>
      <c r="E16" s="85"/>
      <c r="F16" s="85"/>
      <c r="G16" s="85"/>
      <c r="H16" s="85"/>
    </row>
    <row r="17" spans="2:8" x14ac:dyDescent="0.3">
      <c r="B17" s="34"/>
      <c r="C17" s="34"/>
      <c r="D17" s="34"/>
      <c r="E17" s="34"/>
      <c r="F17" s="34"/>
      <c r="G17" s="34"/>
      <c r="H17" s="34"/>
    </row>
    <row r="18" spans="2:8" x14ac:dyDescent="0.3">
      <c r="B18" s="85"/>
      <c r="C18" s="85"/>
      <c r="D18" s="85"/>
      <c r="E18" s="85"/>
      <c r="F18" s="85"/>
      <c r="G18" s="85"/>
      <c r="H18" s="85"/>
    </row>
    <row r="19" spans="2:8" x14ac:dyDescent="0.3">
      <c r="B19" s="34"/>
      <c r="C19" s="34"/>
      <c r="D19" s="34"/>
      <c r="E19" s="34"/>
      <c r="F19" s="34"/>
      <c r="G19" s="34"/>
      <c r="H19" s="34"/>
    </row>
    <row r="20" spans="2:8" x14ac:dyDescent="0.3">
      <c r="B20" s="85"/>
      <c r="C20" s="85"/>
      <c r="D20" s="85"/>
      <c r="E20" s="85"/>
      <c r="F20" s="85"/>
      <c r="G20" s="85"/>
      <c r="H20" s="85"/>
    </row>
    <row r="21" spans="2:8" x14ac:dyDescent="0.3">
      <c r="B21" s="34"/>
      <c r="C21" s="34"/>
      <c r="D21" s="34"/>
      <c r="E21" s="34"/>
      <c r="F21" s="34"/>
      <c r="G21" s="34"/>
      <c r="H21" s="34"/>
    </row>
    <row r="22" spans="2:8" x14ac:dyDescent="0.3">
      <c r="B22" s="85"/>
      <c r="C22" s="85"/>
      <c r="D22" s="85"/>
      <c r="E22" s="85"/>
      <c r="F22" s="85"/>
      <c r="G22" s="85"/>
      <c r="H22" s="85"/>
    </row>
    <row r="23" spans="2:8" x14ac:dyDescent="0.3">
      <c r="B23" s="34"/>
      <c r="C23" s="34"/>
      <c r="D23" s="34"/>
      <c r="E23" s="34"/>
      <c r="F23" s="34"/>
      <c r="G23" s="34"/>
      <c r="H23" s="34"/>
    </row>
    <row r="24" spans="2:8" x14ac:dyDescent="0.3">
      <c r="B24" s="85"/>
      <c r="C24" s="85"/>
      <c r="D24" s="85"/>
      <c r="E24" s="85"/>
      <c r="F24" s="85"/>
      <c r="G24" s="85"/>
      <c r="H24" s="85"/>
    </row>
    <row r="25" spans="2:8" x14ac:dyDescent="0.3">
      <c r="B25" s="34"/>
      <c r="C25" s="34"/>
      <c r="D25" s="34"/>
      <c r="E25" s="34"/>
      <c r="F25" s="34"/>
      <c r="G25" s="34"/>
      <c r="H25" s="34"/>
    </row>
    <row r="26" spans="2:8" x14ac:dyDescent="0.3">
      <c r="B26" s="85"/>
      <c r="C26" s="85"/>
      <c r="D26" s="85"/>
      <c r="E26" s="85"/>
      <c r="F26" s="85"/>
      <c r="G26" s="85"/>
      <c r="H26" s="85"/>
    </row>
    <row r="27" spans="2:8" x14ac:dyDescent="0.3">
      <c r="B27" s="34"/>
      <c r="C27" s="34"/>
      <c r="D27" s="34"/>
      <c r="E27" s="34"/>
      <c r="F27" s="34"/>
      <c r="G27" s="34"/>
      <c r="H27" s="34"/>
    </row>
    <row r="28" spans="2:8" x14ac:dyDescent="0.3">
      <c r="B28" s="85"/>
      <c r="C28" s="85"/>
      <c r="D28" s="85"/>
      <c r="E28" s="85"/>
      <c r="F28" s="85"/>
      <c r="G28" s="85"/>
      <c r="H28" s="85"/>
    </row>
    <row r="29" spans="2:8" x14ac:dyDescent="0.3">
      <c r="B29" s="34"/>
      <c r="C29" s="34"/>
      <c r="D29" s="34"/>
      <c r="E29" s="34"/>
      <c r="F29" s="34"/>
      <c r="G29" s="34"/>
      <c r="H29" s="34"/>
    </row>
    <row r="30" spans="2:8" x14ac:dyDescent="0.3">
      <c r="B30" s="85"/>
      <c r="C30" s="85"/>
      <c r="D30" s="85"/>
      <c r="E30" s="85"/>
      <c r="F30" s="85"/>
      <c r="G30" s="85"/>
      <c r="H30" s="85"/>
    </row>
    <row r="31" spans="2:8" x14ac:dyDescent="0.3">
      <c r="B31" s="34"/>
      <c r="C31" s="34"/>
      <c r="D31" s="34"/>
      <c r="E31" s="34"/>
      <c r="F31" s="34"/>
      <c r="G31" s="34"/>
      <c r="H31" s="34"/>
    </row>
    <row r="32" spans="2:8" x14ac:dyDescent="0.3">
      <c r="B32" s="85"/>
      <c r="C32" s="85"/>
      <c r="D32" s="85"/>
      <c r="E32" s="85"/>
      <c r="F32" s="85"/>
      <c r="G32" s="85"/>
      <c r="H32" s="85"/>
    </row>
    <row r="33" spans="2:8" x14ac:dyDescent="0.3">
      <c r="B33" s="34"/>
      <c r="C33" s="34"/>
      <c r="D33" s="34"/>
      <c r="E33" s="34"/>
      <c r="F33" s="34"/>
      <c r="G33" s="34"/>
      <c r="H33" s="34"/>
    </row>
    <row r="34" spans="2:8" x14ac:dyDescent="0.3">
      <c r="B34" s="85"/>
      <c r="C34" s="85"/>
      <c r="D34" s="85"/>
      <c r="E34" s="85"/>
      <c r="F34" s="85"/>
      <c r="G34" s="85"/>
      <c r="H34" s="85"/>
    </row>
    <row r="35" spans="2:8" x14ac:dyDescent="0.3">
      <c r="B35" s="34"/>
      <c r="C35" s="34"/>
      <c r="D35" s="34"/>
      <c r="E35" s="34"/>
      <c r="F35" s="34"/>
      <c r="G35" s="34"/>
      <c r="H35" s="34"/>
    </row>
    <row r="36" spans="2:8" x14ac:dyDescent="0.3">
      <c r="B36" s="85"/>
      <c r="C36" s="85"/>
      <c r="D36" s="85"/>
      <c r="E36" s="85"/>
      <c r="F36" s="85"/>
      <c r="G36" s="85"/>
      <c r="H36" s="85"/>
    </row>
    <row r="37" spans="2:8" x14ac:dyDescent="0.3">
      <c r="B37" s="34"/>
      <c r="C37" s="34"/>
      <c r="D37" s="34"/>
      <c r="E37" s="34"/>
      <c r="F37" s="34"/>
      <c r="G37" s="34"/>
      <c r="H37" s="34"/>
    </row>
    <row r="38" spans="2:8" x14ac:dyDescent="0.3">
      <c r="B38" s="85"/>
      <c r="C38" s="85"/>
      <c r="D38" s="85"/>
      <c r="E38" s="85"/>
      <c r="F38" s="85"/>
      <c r="G38" s="85"/>
      <c r="H38" s="85"/>
    </row>
    <row r="39" spans="2:8" x14ac:dyDescent="0.3">
      <c r="B39" s="34"/>
      <c r="C39" s="34"/>
      <c r="D39" s="34"/>
      <c r="E39" s="34"/>
      <c r="F39" s="34"/>
      <c r="G39" s="34"/>
      <c r="H39" s="34"/>
    </row>
    <row r="40" spans="2:8" x14ac:dyDescent="0.3">
      <c r="B40" s="85"/>
      <c r="C40" s="85"/>
      <c r="D40" s="85"/>
      <c r="E40" s="85"/>
      <c r="F40" s="85"/>
      <c r="G40" s="85"/>
      <c r="H40" s="85"/>
    </row>
    <row r="41" spans="2:8" x14ac:dyDescent="0.3">
      <c r="B41" s="34"/>
      <c r="C41" s="34"/>
      <c r="D41" s="34"/>
      <c r="E41" s="34"/>
      <c r="F41" s="34"/>
      <c r="G41" s="34"/>
      <c r="H41" s="34"/>
    </row>
    <row r="42" spans="2:8" x14ac:dyDescent="0.3">
      <c r="B42" s="85"/>
      <c r="C42" s="85"/>
      <c r="D42" s="85"/>
      <c r="E42" s="85"/>
      <c r="F42" s="85"/>
      <c r="G42" s="85"/>
      <c r="H42" s="85"/>
    </row>
    <row r="43" spans="2:8" x14ac:dyDescent="0.3">
      <c r="B43" s="34"/>
      <c r="C43" s="34"/>
      <c r="D43" s="34"/>
      <c r="E43" s="34"/>
      <c r="F43" s="34"/>
      <c r="G43" s="34"/>
      <c r="H43" s="34"/>
    </row>
    <row r="44" spans="2:8" x14ac:dyDescent="0.3">
      <c r="B44" s="85"/>
      <c r="C44" s="85"/>
      <c r="D44" s="85"/>
      <c r="E44" s="85"/>
      <c r="F44" s="85"/>
      <c r="G44" s="85"/>
      <c r="H44" s="85"/>
    </row>
    <row r="45" spans="2:8" x14ac:dyDescent="0.3">
      <c r="B45" s="34"/>
      <c r="C45" s="34"/>
      <c r="D45" s="34"/>
      <c r="E45" s="34"/>
      <c r="F45" s="34"/>
      <c r="G45" s="34"/>
      <c r="H45" s="34"/>
    </row>
    <row r="46" spans="2:8" x14ac:dyDescent="0.3">
      <c r="B46" s="85"/>
      <c r="C46" s="85"/>
      <c r="D46" s="85"/>
      <c r="E46" s="85"/>
      <c r="F46" s="85"/>
      <c r="G46" s="85"/>
      <c r="H46" s="85"/>
    </row>
    <row r="47" spans="2:8" x14ac:dyDescent="0.3">
      <c r="B47" s="34"/>
      <c r="C47" s="34"/>
      <c r="D47" s="34"/>
      <c r="E47" s="34"/>
      <c r="F47" s="34"/>
      <c r="G47" s="34"/>
      <c r="H47" s="34"/>
    </row>
    <row r="48" spans="2:8" x14ac:dyDescent="0.3">
      <c r="B48" s="85"/>
      <c r="C48" s="85"/>
      <c r="D48" s="85"/>
      <c r="E48" s="85"/>
      <c r="F48" s="85"/>
      <c r="G48" s="85"/>
      <c r="H48" s="85"/>
    </row>
    <row r="49" spans="2:8" x14ac:dyDescent="0.3">
      <c r="B49" s="34"/>
      <c r="C49" s="34"/>
      <c r="D49" s="34"/>
      <c r="E49" s="34"/>
      <c r="F49" s="34"/>
      <c r="G49" s="34"/>
      <c r="H49" s="34"/>
    </row>
    <row r="50" spans="2:8" x14ac:dyDescent="0.3">
      <c r="B50" s="85"/>
      <c r="C50" s="85"/>
      <c r="D50" s="85"/>
      <c r="E50" s="85"/>
      <c r="F50" s="85"/>
      <c r="G50" s="85"/>
      <c r="H50" s="85"/>
    </row>
    <row r="51" spans="2:8" x14ac:dyDescent="0.3">
      <c r="B51" s="34"/>
      <c r="C51" s="34"/>
      <c r="D51" s="34"/>
      <c r="E51" s="34"/>
      <c r="F51" s="34"/>
      <c r="G51" s="34"/>
      <c r="H51" s="34"/>
    </row>
    <row r="52" spans="2:8" x14ac:dyDescent="0.3">
      <c r="B52" s="85"/>
      <c r="C52" s="85"/>
      <c r="D52" s="85"/>
      <c r="E52" s="85"/>
      <c r="F52" s="85"/>
      <c r="G52" s="85"/>
      <c r="H52" s="85"/>
    </row>
    <row r="53" spans="2:8" x14ac:dyDescent="0.3">
      <c r="B53" s="34"/>
      <c r="C53" s="34"/>
      <c r="D53" s="34"/>
      <c r="E53" s="34"/>
      <c r="F53" s="34"/>
      <c r="G53" s="34"/>
      <c r="H53" s="34"/>
    </row>
    <row r="54" spans="2:8" x14ac:dyDescent="0.3">
      <c r="B54" s="85"/>
      <c r="C54" s="85"/>
      <c r="D54" s="85"/>
      <c r="E54" s="85"/>
      <c r="F54" s="85"/>
      <c r="G54" s="85"/>
      <c r="H54" s="85"/>
    </row>
    <row r="55" spans="2:8" x14ac:dyDescent="0.3">
      <c r="B55" s="34"/>
      <c r="C55" s="34"/>
      <c r="D55" s="34"/>
      <c r="E55" s="34"/>
      <c r="F55" s="34"/>
      <c r="G55" s="34"/>
      <c r="H55" s="34"/>
    </row>
    <row r="56" spans="2:8" x14ac:dyDescent="0.3">
      <c r="B56" s="85"/>
      <c r="C56" s="85"/>
      <c r="D56" s="85"/>
      <c r="E56" s="85"/>
      <c r="F56" s="85"/>
      <c r="G56" s="85"/>
      <c r="H56" s="85"/>
    </row>
    <row r="57" spans="2:8" x14ac:dyDescent="0.3">
      <c r="B57" s="34"/>
      <c r="C57" s="34"/>
      <c r="D57" s="34"/>
      <c r="E57" s="34"/>
      <c r="F57" s="34"/>
      <c r="G57" s="34"/>
      <c r="H57" s="34"/>
    </row>
    <row r="58" spans="2:8" x14ac:dyDescent="0.3">
      <c r="B58" s="85"/>
      <c r="C58" s="85"/>
      <c r="D58" s="85"/>
      <c r="E58" s="85"/>
      <c r="F58" s="85"/>
      <c r="G58" s="85"/>
      <c r="H58" s="85"/>
    </row>
    <row r="59" spans="2:8" x14ac:dyDescent="0.3">
      <c r="B59" s="34"/>
      <c r="C59" s="34"/>
      <c r="D59" s="34"/>
      <c r="E59" s="34"/>
      <c r="F59" s="34"/>
      <c r="G59" s="34"/>
      <c r="H59" s="34"/>
    </row>
    <row r="60" spans="2:8" x14ac:dyDescent="0.3">
      <c r="B60" s="85"/>
      <c r="C60" s="85"/>
      <c r="D60" s="85"/>
      <c r="E60" s="85"/>
      <c r="F60" s="85"/>
      <c r="G60" s="85"/>
      <c r="H60" s="85"/>
    </row>
    <row r="61" spans="2:8" x14ac:dyDescent="0.3">
      <c r="B61" s="34"/>
      <c r="C61" s="34"/>
      <c r="D61" s="34"/>
      <c r="E61" s="34"/>
      <c r="F61" s="34"/>
      <c r="G61" s="34"/>
      <c r="H61" s="34"/>
    </row>
    <row r="62" spans="2:8" x14ac:dyDescent="0.3">
      <c r="B62" s="85"/>
      <c r="C62" s="85"/>
      <c r="D62" s="85"/>
      <c r="E62" s="85"/>
      <c r="F62" s="85"/>
      <c r="G62" s="85"/>
      <c r="H62" s="85"/>
    </row>
    <row r="63" spans="2:8" x14ac:dyDescent="0.3">
      <c r="B63" s="34"/>
      <c r="C63" s="34"/>
      <c r="D63" s="34"/>
      <c r="E63" s="34"/>
      <c r="F63" s="34"/>
      <c r="G63" s="34"/>
      <c r="H63" s="34"/>
    </row>
    <row r="64" spans="2:8" x14ac:dyDescent="0.3">
      <c r="B64" s="85"/>
      <c r="C64" s="85"/>
      <c r="D64" s="85"/>
      <c r="E64" s="85"/>
      <c r="F64" s="85"/>
      <c r="G64" s="85"/>
      <c r="H64" s="85"/>
    </row>
    <row r="65" spans="2:8" x14ac:dyDescent="0.3">
      <c r="B65" s="34"/>
      <c r="C65" s="34"/>
      <c r="D65" s="34"/>
      <c r="E65" s="34"/>
      <c r="F65" s="34"/>
      <c r="G65" s="34"/>
      <c r="H65" s="34"/>
    </row>
    <row r="66" spans="2:8" x14ac:dyDescent="0.3">
      <c r="B66" s="85"/>
      <c r="C66" s="85"/>
      <c r="D66" s="85"/>
      <c r="E66" s="85"/>
      <c r="F66" s="85"/>
      <c r="G66" s="85"/>
      <c r="H66" s="85"/>
    </row>
    <row r="67" spans="2:8" x14ac:dyDescent="0.3">
      <c r="B67" s="34"/>
      <c r="C67" s="34"/>
      <c r="D67" s="34"/>
      <c r="E67" s="34"/>
      <c r="F67" s="34"/>
      <c r="G67" s="34"/>
      <c r="H67" s="34"/>
    </row>
    <row r="68" spans="2:8" x14ac:dyDescent="0.3">
      <c r="B68" s="85"/>
      <c r="C68" s="85"/>
      <c r="D68" s="85"/>
      <c r="E68" s="85"/>
      <c r="F68" s="85"/>
      <c r="G68" s="85"/>
      <c r="H68" s="85"/>
    </row>
    <row r="69" spans="2:8" x14ac:dyDescent="0.3">
      <c r="B69" s="34"/>
      <c r="C69" s="34"/>
      <c r="D69" s="34"/>
      <c r="E69" s="34"/>
      <c r="F69" s="34"/>
      <c r="G69" s="34"/>
      <c r="H69" s="34"/>
    </row>
    <row r="70" spans="2:8" x14ac:dyDescent="0.3">
      <c r="B70" s="85"/>
      <c r="C70" s="85"/>
      <c r="D70" s="85"/>
      <c r="E70" s="85"/>
      <c r="F70" s="85"/>
      <c r="G70" s="85"/>
      <c r="H70" s="85"/>
    </row>
    <row r="71" spans="2:8" x14ac:dyDescent="0.3">
      <c r="B71" s="34"/>
      <c r="C71" s="34"/>
      <c r="D71" s="34"/>
      <c r="E71" s="34"/>
      <c r="F71" s="34"/>
      <c r="G71" s="34"/>
      <c r="H71" s="34"/>
    </row>
    <row r="72" spans="2:8" x14ac:dyDescent="0.3">
      <c r="B72" s="85"/>
      <c r="C72" s="85"/>
      <c r="D72" s="85"/>
      <c r="E72" s="85"/>
      <c r="F72" s="85"/>
      <c r="G72" s="85"/>
      <c r="H72" s="85"/>
    </row>
    <row r="73" spans="2:8" x14ac:dyDescent="0.3">
      <c r="B73" s="34"/>
      <c r="C73" s="34"/>
      <c r="D73" s="34"/>
      <c r="E73" s="34"/>
      <c r="F73" s="34"/>
      <c r="G73" s="34"/>
      <c r="H73" s="34"/>
    </row>
    <row r="74" spans="2:8" x14ac:dyDescent="0.3">
      <c r="B74" s="85"/>
      <c r="C74" s="85"/>
      <c r="D74" s="85"/>
      <c r="E74" s="85"/>
      <c r="F74" s="85"/>
      <c r="G74" s="85"/>
      <c r="H74" s="85"/>
    </row>
    <row r="75" spans="2:8" x14ac:dyDescent="0.3">
      <c r="B75" s="34"/>
      <c r="C75" s="34"/>
      <c r="D75" s="34"/>
      <c r="E75" s="34"/>
      <c r="F75" s="34"/>
      <c r="G75" s="34"/>
      <c r="H75" s="34"/>
    </row>
    <row r="76" spans="2:8" x14ac:dyDescent="0.3">
      <c r="B76" s="85"/>
      <c r="C76" s="85"/>
      <c r="D76" s="85"/>
      <c r="E76" s="85"/>
      <c r="F76" s="85"/>
      <c r="G76" s="85"/>
      <c r="H76" s="85"/>
    </row>
    <row r="77" spans="2:8" x14ac:dyDescent="0.3">
      <c r="B77" s="34"/>
      <c r="C77" s="34"/>
      <c r="D77" s="34"/>
      <c r="E77" s="34"/>
      <c r="F77" s="34"/>
      <c r="G77" s="34"/>
      <c r="H77" s="34"/>
    </row>
    <row r="78" spans="2:8" x14ac:dyDescent="0.3">
      <c r="B78" s="85"/>
      <c r="C78" s="85"/>
      <c r="D78" s="85"/>
      <c r="E78" s="85"/>
      <c r="F78" s="85"/>
      <c r="G78" s="85"/>
      <c r="H78" s="85"/>
    </row>
    <row r="79" spans="2:8" x14ac:dyDescent="0.3">
      <c r="B79" s="34"/>
      <c r="C79" s="34"/>
      <c r="D79" s="34"/>
      <c r="E79" s="34"/>
      <c r="F79" s="34"/>
      <c r="G79" s="34"/>
      <c r="H79" s="34"/>
    </row>
    <row r="80" spans="2:8" x14ac:dyDescent="0.3">
      <c r="B80" s="85"/>
      <c r="C80" s="85"/>
      <c r="D80" s="85"/>
      <c r="E80" s="85"/>
      <c r="F80" s="85"/>
      <c r="G80" s="85"/>
      <c r="H80" s="85"/>
    </row>
    <row r="81" spans="2:8" x14ac:dyDescent="0.3">
      <c r="B81" s="34"/>
      <c r="C81" s="34"/>
      <c r="D81" s="34"/>
      <c r="E81" s="34"/>
      <c r="F81" s="34"/>
      <c r="G81" s="34"/>
      <c r="H81" s="34"/>
    </row>
    <row r="82" spans="2:8" x14ac:dyDescent="0.3">
      <c r="B82" s="85"/>
      <c r="C82" s="85"/>
      <c r="D82" s="85"/>
      <c r="E82" s="85"/>
      <c r="F82" s="85"/>
      <c r="G82" s="85"/>
      <c r="H82" s="85"/>
    </row>
    <row r="83" spans="2:8" x14ac:dyDescent="0.3">
      <c r="B83" s="34"/>
      <c r="C83" s="34"/>
      <c r="D83" s="34"/>
      <c r="E83" s="34"/>
      <c r="F83" s="34"/>
      <c r="G83" s="34"/>
      <c r="H83" s="34"/>
    </row>
    <row r="84" spans="2:8" x14ac:dyDescent="0.3">
      <c r="B84" s="85"/>
      <c r="C84" s="85"/>
      <c r="D84" s="85"/>
      <c r="E84" s="85"/>
      <c r="F84" s="85"/>
      <c r="G84" s="85"/>
      <c r="H84" s="85"/>
    </row>
    <row r="85" spans="2:8" x14ac:dyDescent="0.3">
      <c r="B85" s="34"/>
      <c r="C85" s="34"/>
      <c r="D85" s="34"/>
      <c r="E85" s="34"/>
      <c r="F85" s="34"/>
      <c r="G85" s="34"/>
      <c r="H85" s="34"/>
    </row>
    <row r="86" spans="2:8" x14ac:dyDescent="0.3">
      <c r="B86" s="85"/>
      <c r="C86" s="85"/>
      <c r="D86" s="85"/>
      <c r="E86" s="85"/>
      <c r="F86" s="85"/>
      <c r="G86" s="85"/>
      <c r="H86" s="85"/>
    </row>
    <row r="87" spans="2:8" x14ac:dyDescent="0.3">
      <c r="B87" s="34"/>
      <c r="C87" s="34"/>
      <c r="D87" s="34"/>
      <c r="E87" s="34"/>
      <c r="F87" s="34"/>
      <c r="G87" s="34"/>
      <c r="H87" s="34"/>
    </row>
    <row r="88" spans="2:8" x14ac:dyDescent="0.3">
      <c r="B88" s="85"/>
      <c r="C88" s="85"/>
      <c r="D88" s="85"/>
      <c r="E88" s="85"/>
      <c r="F88" s="85"/>
      <c r="G88" s="85"/>
      <c r="H88" s="85"/>
    </row>
    <row r="89" spans="2:8" x14ac:dyDescent="0.3">
      <c r="B89" s="34"/>
      <c r="C89" s="34"/>
      <c r="D89" s="34"/>
      <c r="E89" s="34"/>
      <c r="F89" s="34"/>
      <c r="G89" s="34"/>
      <c r="H89" s="34"/>
    </row>
    <row r="90" spans="2:8" x14ac:dyDescent="0.3">
      <c r="B90" s="85"/>
      <c r="C90" s="85"/>
      <c r="D90" s="85"/>
      <c r="E90" s="85"/>
      <c r="F90" s="85"/>
      <c r="G90" s="85"/>
      <c r="H90" s="85"/>
    </row>
    <row r="91" spans="2:8" x14ac:dyDescent="0.3">
      <c r="B91" s="34"/>
      <c r="C91" s="34"/>
      <c r="D91" s="34"/>
      <c r="E91" s="34"/>
      <c r="F91" s="34"/>
      <c r="G91" s="34"/>
      <c r="H91" s="34"/>
    </row>
    <row r="92" spans="2:8" x14ac:dyDescent="0.3">
      <c r="B92" s="85"/>
      <c r="C92" s="85"/>
      <c r="D92" s="85"/>
      <c r="E92" s="85"/>
      <c r="F92" s="85"/>
      <c r="G92" s="85"/>
      <c r="H92" s="85"/>
    </row>
    <row r="93" spans="2:8" x14ac:dyDescent="0.3">
      <c r="B93" s="34"/>
      <c r="C93" s="34"/>
      <c r="D93" s="34"/>
      <c r="E93" s="34"/>
      <c r="F93" s="34"/>
      <c r="G93" s="34"/>
      <c r="H93" s="34"/>
    </row>
    <row r="94" spans="2:8" x14ac:dyDescent="0.3">
      <c r="B94" s="85"/>
      <c r="C94" s="85"/>
      <c r="D94" s="85"/>
      <c r="E94" s="85"/>
      <c r="F94" s="85"/>
      <c r="G94" s="85"/>
      <c r="H94" s="85"/>
    </row>
    <row r="95" spans="2:8" x14ac:dyDescent="0.3">
      <c r="B95" s="34"/>
      <c r="C95" s="34"/>
      <c r="D95" s="34"/>
      <c r="E95" s="34"/>
      <c r="F95" s="34"/>
      <c r="G95" s="34"/>
      <c r="H95" s="34"/>
    </row>
    <row r="96" spans="2:8" x14ac:dyDescent="0.3">
      <c r="B96" s="85"/>
      <c r="C96" s="85"/>
      <c r="D96" s="85"/>
      <c r="E96" s="85"/>
      <c r="F96" s="85"/>
      <c r="G96" s="85"/>
      <c r="H96" s="85"/>
    </row>
    <row r="97" spans="2:8" x14ac:dyDescent="0.3">
      <c r="B97" s="34"/>
      <c r="C97" s="34"/>
      <c r="D97" s="34"/>
      <c r="E97" s="34"/>
      <c r="F97" s="34"/>
      <c r="G97" s="34"/>
      <c r="H97" s="34"/>
    </row>
    <row r="98" spans="2:8" x14ac:dyDescent="0.3">
      <c r="B98" s="85"/>
      <c r="C98" s="85"/>
      <c r="D98" s="85"/>
      <c r="E98" s="85"/>
      <c r="F98" s="85"/>
      <c r="G98" s="85"/>
      <c r="H98" s="85"/>
    </row>
    <row r="99" spans="2:8" x14ac:dyDescent="0.3">
      <c r="B99" s="34"/>
      <c r="C99" s="34"/>
      <c r="D99" s="34"/>
      <c r="E99" s="34"/>
      <c r="F99" s="34"/>
      <c r="G99" s="34"/>
      <c r="H99" s="34"/>
    </row>
    <row r="100" spans="2:8" x14ac:dyDescent="0.3">
      <c r="B100" s="85"/>
      <c r="C100" s="85"/>
      <c r="D100" s="85"/>
      <c r="E100" s="85"/>
      <c r="F100" s="85"/>
      <c r="G100" s="85"/>
      <c r="H100" s="85"/>
    </row>
    <row r="102" spans="2:8" x14ac:dyDescent="0.3">
      <c r="B102" s="100" t="s">
        <v>132</v>
      </c>
      <c r="C102" s="100"/>
      <c r="D102" s="100"/>
      <c r="E102" s="100"/>
      <c r="F102" s="100"/>
      <c r="G102" s="100"/>
      <c r="H102" s="100"/>
    </row>
  </sheetData>
  <mergeCells count="4">
    <mergeCell ref="B1:H1"/>
    <mergeCell ref="B2:H2"/>
    <mergeCell ref="B5:H5"/>
    <mergeCell ref="B102:H10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8"/>
  <sheetViews>
    <sheetView showGridLines="0" topLeftCell="A9" zoomScaleNormal="100" workbookViewId="0">
      <selection activeCell="F15" sqref="F15"/>
    </sheetView>
  </sheetViews>
  <sheetFormatPr defaultColWidth="8.6640625" defaultRowHeight="14.4" x14ac:dyDescent="0.3"/>
  <cols>
    <col min="1" max="1" width="2" customWidth="1"/>
    <col min="2" max="2" width="8.6640625" bestFit="1" customWidth="1"/>
    <col min="3" max="3" width="26.5546875" bestFit="1" customWidth="1"/>
    <col min="4" max="4" width="18.44140625" bestFit="1" customWidth="1"/>
    <col min="5" max="5" width="21.5546875" bestFit="1" customWidth="1"/>
    <col min="6" max="6" width="19.44140625" bestFit="1" customWidth="1"/>
    <col min="7" max="7" width="21.88671875" bestFit="1" customWidth="1"/>
    <col min="8" max="8" width="20.33203125" bestFit="1" customWidth="1"/>
    <col min="9" max="9" width="2" customWidth="1"/>
  </cols>
  <sheetData>
    <row r="1" spans="2:8" ht="24.6" x14ac:dyDescent="0.3">
      <c r="B1" s="101" t="s">
        <v>133</v>
      </c>
      <c r="C1" s="101"/>
      <c r="D1" s="101"/>
      <c r="E1" s="101"/>
      <c r="F1" s="101"/>
      <c r="G1" s="101"/>
      <c r="H1" s="101"/>
    </row>
    <row r="2" spans="2:8" x14ac:dyDescent="0.3">
      <c r="B2" s="102" t="s">
        <v>134</v>
      </c>
      <c r="C2" s="102"/>
      <c r="D2" s="102"/>
      <c r="E2" s="102"/>
      <c r="F2" s="102"/>
      <c r="G2" s="102"/>
      <c r="H2" s="102"/>
    </row>
    <row r="4" spans="2:8" ht="16.8" x14ac:dyDescent="0.3">
      <c r="B4" s="103" t="s">
        <v>135</v>
      </c>
      <c r="C4" s="103"/>
      <c r="D4" s="103"/>
      <c r="E4" s="103"/>
      <c r="F4" s="103"/>
      <c r="G4" s="103"/>
      <c r="H4" s="103"/>
    </row>
    <row r="5" spans="2:8" x14ac:dyDescent="0.3">
      <c r="B5" s="86" t="s">
        <v>136</v>
      </c>
      <c r="C5" s="86" t="s">
        <v>137</v>
      </c>
      <c r="D5" s="86" t="s">
        <v>138</v>
      </c>
      <c r="E5" s="86" t="s">
        <v>139</v>
      </c>
      <c r="F5" s="86" t="s">
        <v>140</v>
      </c>
      <c r="G5" s="86" t="s">
        <v>141</v>
      </c>
      <c r="H5" s="86" t="s">
        <v>142</v>
      </c>
    </row>
    <row r="6" spans="2:8" x14ac:dyDescent="0.3">
      <c r="B6" s="86" t="s">
        <v>143</v>
      </c>
      <c r="C6" s="87"/>
      <c r="D6" s="87"/>
      <c r="E6" s="87"/>
      <c r="F6" s="87"/>
      <c r="G6" s="87"/>
      <c r="H6" s="87"/>
    </row>
    <row r="7" spans="2:8" x14ac:dyDescent="0.3">
      <c r="B7" s="86" t="s">
        <v>144</v>
      </c>
      <c r="C7" s="88"/>
      <c r="D7" s="88"/>
      <c r="E7" s="88"/>
      <c r="F7" s="88"/>
      <c r="G7" s="88"/>
      <c r="H7" s="88"/>
    </row>
    <row r="8" spans="2:8" x14ac:dyDescent="0.3">
      <c r="B8" s="86" t="s">
        <v>145</v>
      </c>
      <c r="C8" s="87"/>
      <c r="D8" s="87"/>
      <c r="E8" s="87"/>
      <c r="F8" s="87"/>
      <c r="G8" s="87"/>
      <c r="H8" s="87"/>
    </row>
    <row r="9" spans="2:8" x14ac:dyDescent="0.3">
      <c r="B9" s="86" t="s">
        <v>146</v>
      </c>
      <c r="C9" s="88"/>
      <c r="D9" s="88"/>
      <c r="E9" s="88"/>
      <c r="F9" s="88"/>
      <c r="G9" s="88"/>
      <c r="H9" s="88"/>
    </row>
    <row r="10" spans="2:8" x14ac:dyDescent="0.3">
      <c r="B10" s="86" t="s">
        <v>147</v>
      </c>
      <c r="C10" s="87"/>
      <c r="D10" s="87"/>
      <c r="E10" s="87"/>
      <c r="F10" s="87"/>
      <c r="G10" s="87"/>
      <c r="H10" s="87"/>
    </row>
    <row r="11" spans="2:8" x14ac:dyDescent="0.3">
      <c r="B11" s="86" t="s">
        <v>148</v>
      </c>
      <c r="C11" s="88"/>
      <c r="D11" s="88"/>
      <c r="E11" s="88"/>
      <c r="F11" s="88"/>
      <c r="G11" s="88"/>
      <c r="H11" s="88"/>
    </row>
    <row r="12" spans="2:8" x14ac:dyDescent="0.3">
      <c r="B12" s="86" t="s">
        <v>149</v>
      </c>
      <c r="C12" s="87"/>
      <c r="D12" s="87"/>
      <c r="E12" s="87"/>
      <c r="F12" s="87"/>
      <c r="G12" s="87"/>
      <c r="H12" s="87"/>
    </row>
    <row r="13" spans="2:8" x14ac:dyDescent="0.3">
      <c r="B13" s="86" t="s">
        <v>150</v>
      </c>
      <c r="C13" s="88"/>
      <c r="D13" s="88"/>
      <c r="E13" s="88"/>
      <c r="F13" s="88"/>
      <c r="G13" s="88"/>
      <c r="H13" s="88"/>
    </row>
    <row r="14" spans="2:8" x14ac:dyDescent="0.3">
      <c r="B14" s="86" t="s">
        <v>151</v>
      </c>
      <c r="C14" s="87"/>
      <c r="D14" s="87"/>
      <c r="E14" s="87"/>
      <c r="F14" s="87"/>
      <c r="G14" s="87"/>
      <c r="H14" s="87"/>
    </row>
    <row r="15" spans="2:8" x14ac:dyDescent="0.3">
      <c r="B15" s="86" t="s">
        <v>152</v>
      </c>
      <c r="C15" s="88"/>
      <c r="D15" s="88"/>
      <c r="E15" s="88"/>
      <c r="F15" s="88"/>
      <c r="G15" s="88"/>
      <c r="H15" s="88"/>
    </row>
    <row r="16" spans="2:8" x14ac:dyDescent="0.3">
      <c r="B16" s="86" t="s">
        <v>153</v>
      </c>
      <c r="C16" s="87"/>
      <c r="D16" s="87"/>
      <c r="E16" s="87"/>
      <c r="F16" s="87"/>
      <c r="G16" s="87"/>
      <c r="H16" s="87"/>
    </row>
    <row r="17" spans="2:8" x14ac:dyDescent="0.3">
      <c r="B17" s="86" t="s">
        <v>154</v>
      </c>
      <c r="C17" s="88"/>
      <c r="D17" s="88"/>
      <c r="E17" s="88"/>
      <c r="F17" s="88"/>
      <c r="G17" s="88"/>
      <c r="H17" s="88"/>
    </row>
    <row r="20" spans="2:8" ht="16.8" x14ac:dyDescent="0.3">
      <c r="B20" s="103" t="s">
        <v>155</v>
      </c>
      <c r="C20" s="103"/>
      <c r="D20" s="103"/>
      <c r="E20" s="103"/>
      <c r="F20" s="103"/>
      <c r="G20" s="103"/>
      <c r="H20" s="103"/>
    </row>
    <row r="21" spans="2:8" x14ac:dyDescent="0.3">
      <c r="B21" s="86" t="s">
        <v>156</v>
      </c>
      <c r="C21" s="86" t="s">
        <v>157</v>
      </c>
      <c r="D21" s="86" t="s">
        <v>158</v>
      </c>
      <c r="E21" s="86" t="s">
        <v>159</v>
      </c>
      <c r="F21" s="86" t="s">
        <v>158</v>
      </c>
      <c r="G21" s="86" t="s">
        <v>160</v>
      </c>
    </row>
    <row r="22" spans="2:8" ht="22.8" x14ac:dyDescent="0.3">
      <c r="B22" s="86" t="s">
        <v>161</v>
      </c>
      <c r="C22" s="89" t="s">
        <v>162</v>
      </c>
      <c r="D22" s="90"/>
      <c r="E22" s="89" t="s">
        <v>163</v>
      </c>
      <c r="F22" s="90"/>
      <c r="G22" s="89" t="s">
        <v>164</v>
      </c>
    </row>
    <row r="23" spans="2:8" x14ac:dyDescent="0.3">
      <c r="B23" s="86" t="s">
        <v>165</v>
      </c>
      <c r="C23" s="91" t="s">
        <v>166</v>
      </c>
      <c r="D23" s="92"/>
      <c r="E23" s="91" t="s">
        <v>167</v>
      </c>
      <c r="F23" s="92"/>
      <c r="G23" s="91" t="s">
        <v>168</v>
      </c>
    </row>
    <row r="24" spans="2:8" ht="22.8" x14ac:dyDescent="0.3">
      <c r="B24" s="86" t="s">
        <v>169</v>
      </c>
      <c r="C24" s="89" t="s">
        <v>170</v>
      </c>
      <c r="D24" s="90"/>
      <c r="E24" s="89" t="s">
        <v>171</v>
      </c>
      <c r="F24" s="90"/>
      <c r="G24" s="89" t="s">
        <v>172</v>
      </c>
    </row>
    <row r="25" spans="2:8" ht="22.8" x14ac:dyDescent="0.3">
      <c r="B25" s="86" t="s">
        <v>173</v>
      </c>
      <c r="C25" s="91" t="s">
        <v>174</v>
      </c>
      <c r="D25" s="92"/>
      <c r="E25" s="91" t="s">
        <v>175</v>
      </c>
      <c r="F25" s="92"/>
      <c r="G25" s="91" t="s">
        <v>176</v>
      </c>
    </row>
    <row r="28" spans="2:8" x14ac:dyDescent="0.3">
      <c r="B28" s="104" t="s">
        <v>177</v>
      </c>
      <c r="C28" s="104"/>
      <c r="D28" s="104"/>
      <c r="E28" s="104"/>
      <c r="F28" s="104"/>
      <c r="G28" s="104"/>
      <c r="H28" s="104"/>
    </row>
  </sheetData>
  <mergeCells count="5">
    <mergeCell ref="B1:H1"/>
    <mergeCell ref="B2:H2"/>
    <mergeCell ref="B4:H4"/>
    <mergeCell ref="B20:H20"/>
    <mergeCell ref="B28:H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🧑 His Goals</vt:lpstr>
      <vt:lpstr>👩 Her Goals</vt:lpstr>
      <vt:lpstr>💑 Our Goals</vt:lpstr>
      <vt:lpstr>🏆 Achieved</vt:lpstr>
      <vt:lpstr>📅 Monthly Check-In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Ezra Muinde</cp:lastModifiedBy>
  <cp:revision>0</cp:revision>
  <dcterms:created xsi:type="dcterms:W3CDTF">2026-02-27T07:45:30Z</dcterms:created>
  <dcterms:modified xsi:type="dcterms:W3CDTF">2026-02-27T12:59:47Z</dcterms:modified>
  <dc:language>en-US</dc:language>
</cp:coreProperties>
</file>